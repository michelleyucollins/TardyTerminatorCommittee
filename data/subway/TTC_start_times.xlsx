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/Documents/GitHub/TardyTerminatorCommittee/data/subway/"/>
    </mc:Choice>
  </mc:AlternateContent>
  <xr:revisionPtr revIDLastSave="0" documentId="13_ncr:1_{16EB0781-6519-444D-9435-46DA8E5CF04C}" xr6:coauthVersionLast="47" xr6:coauthVersionMax="47" xr10:uidLastSave="{00000000-0000-0000-0000-000000000000}"/>
  <bookViews>
    <workbookView xWindow="-12900" yWindow="-28300" windowWidth="27660" windowHeight="28180" xr2:uid="{CE12AB93-EB51-0545-9571-363BDCFCA93A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K65" i="1"/>
  <c r="K66" i="1" s="1"/>
  <c r="J65" i="1"/>
  <c r="J66" i="1" s="1"/>
  <c r="J67" i="1" s="1"/>
  <c r="J68" i="1" s="1"/>
  <c r="J69" i="1" s="1"/>
  <c r="K41" i="1"/>
  <c r="M41" i="1" s="1"/>
  <c r="J41" i="1"/>
  <c r="L41" i="1" s="1"/>
  <c r="Q69" i="1"/>
  <c r="S69" i="1" s="1"/>
  <c r="P69" i="1"/>
  <c r="R69" i="1" s="1"/>
  <c r="K67" i="1" l="1"/>
  <c r="K68" i="1" s="1"/>
  <c r="K69" i="1" s="1"/>
  <c r="L65" i="1"/>
  <c r="L66" i="1" s="1"/>
  <c r="L67" i="1" s="1"/>
  <c r="L68" i="1" s="1"/>
  <c r="L69" i="1" s="1"/>
  <c r="M65" i="1"/>
  <c r="M66" i="1" s="1"/>
  <c r="M67" i="1" s="1"/>
  <c r="M68" i="1" s="1"/>
  <c r="M69" i="1" s="1"/>
  <c r="J42" i="1"/>
  <c r="J43" i="1" s="1"/>
  <c r="J44" i="1" s="1"/>
  <c r="J45" i="1" s="1"/>
  <c r="J46" i="1" s="1"/>
  <c r="J47" i="1" s="1"/>
  <c r="J48" i="1" s="1"/>
  <c r="J49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K42" i="1"/>
  <c r="K43" i="1" s="1"/>
  <c r="K44" i="1" s="1"/>
  <c r="K45" i="1" s="1"/>
  <c r="K46" i="1" s="1"/>
  <c r="K47" i="1" s="1"/>
  <c r="K48" i="1" s="1"/>
  <c r="K49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Q68" i="1"/>
  <c r="Q67" i="1" s="1"/>
  <c r="Q66" i="1" s="1"/>
  <c r="Q65" i="1" s="1"/>
  <c r="Q64" i="1" s="1"/>
  <c r="Q63" i="1" s="1"/>
  <c r="Q62" i="1" s="1"/>
  <c r="Q61" i="1" s="1"/>
  <c r="Q60" i="1" s="1"/>
  <c r="Q59" i="1" s="1"/>
  <c r="Q58" i="1" s="1"/>
  <c r="Q57" i="1" s="1"/>
  <c r="Q56" i="1" s="1"/>
  <c r="Q55" i="1" s="1"/>
  <c r="Q54" i="1" s="1"/>
  <c r="Q53" i="1" s="1"/>
  <c r="Q52" i="1" s="1"/>
  <c r="Q51" i="1" s="1"/>
  <c r="Q49" i="1" s="1"/>
  <c r="Q48" i="1" s="1"/>
  <c r="Q47" i="1" s="1"/>
  <c r="Q46" i="1" s="1"/>
  <c r="Q45" i="1" s="1"/>
  <c r="Q44" i="1" s="1"/>
  <c r="Q43" i="1" s="1"/>
  <c r="Q42" i="1" s="1"/>
  <c r="Q41" i="1" s="1"/>
  <c r="P68" i="1"/>
  <c r="P67" i="1" s="1"/>
  <c r="P66" i="1" s="1"/>
  <c r="P65" i="1" s="1"/>
  <c r="P64" i="1" s="1"/>
  <c r="P63" i="1" s="1"/>
  <c r="P62" i="1" s="1"/>
  <c r="P61" i="1" s="1"/>
  <c r="P60" i="1" s="1"/>
  <c r="P59" i="1" s="1"/>
  <c r="P58" i="1" s="1"/>
  <c r="P57" i="1" s="1"/>
  <c r="P56" i="1" s="1"/>
  <c r="P55" i="1" s="1"/>
  <c r="P54" i="1" s="1"/>
  <c r="P53" i="1" s="1"/>
  <c r="P52" i="1" s="1"/>
  <c r="P51" i="1" s="1"/>
  <c r="S68" i="1" l="1"/>
  <c r="S67" i="1" s="1"/>
  <c r="S66" i="1" s="1"/>
  <c r="S65" i="1" s="1"/>
  <c r="S64" i="1" s="1"/>
  <c r="S63" i="1" s="1"/>
  <c r="S62" i="1" s="1"/>
  <c r="S61" i="1" s="1"/>
  <c r="S60" i="1" s="1"/>
  <c r="S59" i="1" s="1"/>
  <c r="S58" i="1" s="1"/>
  <c r="S57" i="1" s="1"/>
  <c r="S56" i="1" s="1"/>
  <c r="S55" i="1" s="1"/>
  <c r="S54" i="1" s="1"/>
  <c r="S53" i="1" s="1"/>
  <c r="S52" i="1" s="1"/>
  <c r="L42" i="1"/>
  <c r="L43" i="1" s="1"/>
  <c r="L44" i="1" s="1"/>
  <c r="L45" i="1" s="1"/>
  <c r="L46" i="1" s="1"/>
  <c r="L47" i="1" s="1"/>
  <c r="L48" i="1" s="1"/>
  <c r="L49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M42" i="1"/>
  <c r="M43" i="1" s="1"/>
  <c r="M44" i="1" s="1"/>
  <c r="M45" i="1" s="1"/>
  <c r="M46" i="1" s="1"/>
  <c r="M47" i="1" s="1"/>
  <c r="M48" i="1" s="1"/>
  <c r="M49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R68" i="1"/>
  <c r="R67" i="1" s="1"/>
  <c r="R66" i="1" s="1"/>
  <c r="R65" i="1" s="1"/>
  <c r="R64" i="1" s="1"/>
  <c r="R63" i="1" s="1"/>
  <c r="R62" i="1" s="1"/>
  <c r="R61" i="1" s="1"/>
  <c r="R60" i="1" s="1"/>
  <c r="R59" i="1" s="1"/>
  <c r="R58" i="1" s="1"/>
  <c r="R57" i="1" s="1"/>
  <c r="R56" i="1" s="1"/>
  <c r="R55" i="1" s="1"/>
  <c r="R54" i="1" s="1"/>
  <c r="R53" i="1" s="1"/>
  <c r="R52" i="1" s="1"/>
  <c r="R51" i="1" s="1"/>
  <c r="R49" i="1" s="1"/>
  <c r="R48" i="1" s="1"/>
  <c r="R47" i="1" s="1"/>
  <c r="R46" i="1" s="1"/>
  <c r="R45" i="1" s="1"/>
  <c r="R44" i="1" s="1"/>
  <c r="R43" i="1" s="1"/>
  <c r="R42" i="1" s="1"/>
  <c r="R41" i="1" s="1"/>
  <c r="P49" i="1"/>
  <c r="P48" i="1" s="1"/>
  <c r="P47" i="1" s="1"/>
  <c r="P46" i="1" s="1"/>
  <c r="P45" i="1" s="1"/>
  <c r="P44" i="1" s="1"/>
  <c r="P43" i="1" s="1"/>
  <c r="P42" i="1" s="1"/>
  <c r="P41" i="1" s="1"/>
  <c r="S51" i="1"/>
  <c r="S49" i="1" s="1"/>
  <c r="S48" i="1" s="1"/>
  <c r="S47" i="1" s="1"/>
  <c r="S46" i="1" s="1"/>
  <c r="S45" i="1" s="1"/>
  <c r="S44" i="1" s="1"/>
  <c r="S43" i="1" s="1"/>
  <c r="S42" i="1" s="1"/>
  <c r="S41" i="1" s="1"/>
</calcChain>
</file>

<file path=xl/sharedStrings.xml><?xml version="1.0" encoding="utf-8"?>
<sst xmlns="http://schemas.openxmlformats.org/spreadsheetml/2006/main" count="241" uniqueCount="93">
  <si>
    <t>Station</t>
  </si>
  <si>
    <t>Finch</t>
  </si>
  <si>
    <t>North York Centre</t>
  </si>
  <si>
    <t>Sheppard-Yonge</t>
  </si>
  <si>
    <t>Lawrence</t>
  </si>
  <si>
    <t>Eglinton</t>
  </si>
  <si>
    <t>Davisville</t>
  </si>
  <si>
    <t>St Clair</t>
  </si>
  <si>
    <t>Summerhill</t>
  </si>
  <si>
    <t>Rosedale</t>
  </si>
  <si>
    <t>Bloor</t>
  </si>
  <si>
    <t>Wellesley</t>
  </si>
  <si>
    <t>York Mills</t>
  </si>
  <si>
    <t>ID</t>
  </si>
  <si>
    <t>Yes</t>
  </si>
  <si>
    <t>College Station</t>
  </si>
  <si>
    <t>Dundas Station</t>
  </si>
  <si>
    <t>Queen Station</t>
  </si>
  <si>
    <t>King Station</t>
  </si>
  <si>
    <t>Union Station</t>
  </si>
  <si>
    <t>St Andrew Station</t>
  </si>
  <si>
    <t>Osgoode Station</t>
  </si>
  <si>
    <t>Queen's Park Station</t>
  </si>
  <si>
    <t>Transfer Station / Hub</t>
  </si>
  <si>
    <t>Museum Station</t>
  </si>
  <si>
    <t>St George Station</t>
  </si>
  <si>
    <t>Spadina Station</t>
  </si>
  <si>
    <t>Dupont Station</t>
  </si>
  <si>
    <t>St Clair West Station</t>
  </si>
  <si>
    <t>Eglinton West Station</t>
  </si>
  <si>
    <t>Glencairn Station</t>
  </si>
  <si>
    <t>Lawrence West Station</t>
  </si>
  <si>
    <t>Yorkdale Station</t>
  </si>
  <si>
    <t>Wilson Station</t>
  </si>
  <si>
    <t>Sheppard West Station</t>
  </si>
  <si>
    <t>Downsview Park Station</t>
  </si>
  <si>
    <t>Finch West Station</t>
  </si>
  <si>
    <t xml:space="preserve">York University </t>
  </si>
  <si>
    <t>Pioneer Village Station</t>
  </si>
  <si>
    <t>Highway 407 Station</t>
  </si>
  <si>
    <t>Vaughn Metropolitan Centre Station</t>
  </si>
  <si>
    <t>No</t>
  </si>
  <si>
    <t>Train Start  Station</t>
  </si>
  <si>
    <t>Reverse Mon Fri Start</t>
  </si>
  <si>
    <t>Reverse Mon Fri End</t>
  </si>
  <si>
    <t>Reverse Sat Start</t>
  </si>
  <si>
    <t>Reverse Sat End</t>
  </si>
  <si>
    <t>Reverse Sun Start</t>
  </si>
  <si>
    <t>Reverse Sun End</t>
  </si>
  <si>
    <t>Order Mon Fri Start</t>
  </si>
  <si>
    <t>Order Mon Fri End</t>
  </si>
  <si>
    <t>Order Sat Start</t>
  </si>
  <si>
    <t>Order Sat End</t>
  </si>
  <si>
    <t>Order Sun Start</t>
  </si>
  <si>
    <t>Order Sun End</t>
  </si>
  <si>
    <t>Line</t>
  </si>
  <si>
    <t>Kipling Station</t>
  </si>
  <si>
    <t>Islington Station</t>
  </si>
  <si>
    <t>Royal York Station</t>
  </si>
  <si>
    <t>Old Mill Station</t>
  </si>
  <si>
    <t>Jane Station</t>
  </si>
  <si>
    <t>Runnymede Station</t>
  </si>
  <si>
    <t>High Park Station</t>
  </si>
  <si>
    <t>Keele Station</t>
  </si>
  <si>
    <t>Dundas West Station</t>
  </si>
  <si>
    <t>Lansdowne Station</t>
  </si>
  <si>
    <t>Ossington Station</t>
  </si>
  <si>
    <t>Christie Station</t>
  </si>
  <si>
    <t>Bathurst Station</t>
  </si>
  <si>
    <t>Bay Station</t>
  </si>
  <si>
    <t>Yonge Station</t>
  </si>
  <si>
    <t>Sherbourne Station</t>
  </si>
  <si>
    <t>Castle Frank Station</t>
  </si>
  <si>
    <t>Broadview Station</t>
  </si>
  <si>
    <t>Chester Station</t>
  </si>
  <si>
    <t>Pape Station</t>
  </si>
  <si>
    <t>Donlands Station</t>
  </si>
  <si>
    <t>Greenwood Station</t>
  </si>
  <si>
    <t>Coxwell Station</t>
  </si>
  <si>
    <t>Woodbine Station</t>
  </si>
  <si>
    <t>Main Street Station</t>
  </si>
  <si>
    <t>Victoria Park Station</t>
  </si>
  <si>
    <t xml:space="preserve">Warden Station </t>
  </si>
  <si>
    <t>Kennedy Station</t>
  </si>
  <si>
    <t>Sheppard-Yonge Station</t>
  </si>
  <si>
    <t>Bayview Station</t>
  </si>
  <si>
    <t>Bessarion Station</t>
  </si>
  <si>
    <t>Leslie Station</t>
  </si>
  <si>
    <t>Don Mills Station</t>
  </si>
  <si>
    <t>Stops from transfer station</t>
  </si>
  <si>
    <t>Stops from train start station</t>
  </si>
  <si>
    <t>St Patrick Station</t>
  </si>
  <si>
    <t>Dufferin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</si>
</sst>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8443-AFE8-BF48-B78A-3CF5BF351837}">
  <dimension ref="A1:S76"/>
  <sheetViews>
    <sheetView tabSelected="1" topLeftCell="A24" zoomScale="138" workbookViewId="0">
      <selection activeCell="G49" sqref="G49"/>
    </sheetView>
  </sheetViews>
  <sheetFormatPr baseColWidth="10" defaultRowHeight="16" x14ac:dyDescent="0.2"/>
  <cols>
    <col min="3" max="5" width="17.1640625" customWidth="1"/>
    <col min="6" max="6" width="10.1640625" customWidth="1"/>
    <col min="7" max="7" width="19" bestFit="1" customWidth="1"/>
  </cols>
  <sheetData>
    <row r="1" spans="1:19" x14ac:dyDescent="0.2">
      <c r="A1" t="s">
        <v>55</v>
      </c>
      <c r="B1" t="s">
        <v>13</v>
      </c>
      <c r="C1" t="s">
        <v>0</v>
      </c>
      <c r="D1" t="s">
        <v>90</v>
      </c>
      <c r="E1" t="s">
        <v>89</v>
      </c>
      <c r="F1" t="s">
        <v>42</v>
      </c>
      <c r="G1" t="s">
        <v>23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</row>
    <row r="2" spans="1:19" x14ac:dyDescent="0.2">
      <c r="A2">
        <v>1</v>
      </c>
      <c r="B2">
        <v>1</v>
      </c>
      <c r="C2" t="s">
        <v>1</v>
      </c>
      <c r="D2">
        <v>0</v>
      </c>
      <c r="E2">
        <f>B2-$B$2</f>
        <v>0</v>
      </c>
      <c r="F2" t="s">
        <v>14</v>
      </c>
      <c r="G2" t="s">
        <v>14</v>
      </c>
      <c r="H2" s="1">
        <v>0.2298611111111111</v>
      </c>
      <c r="I2" s="1">
        <v>5.5555555555555552E-2</v>
      </c>
      <c r="J2" s="1">
        <v>0.23749999999999999</v>
      </c>
      <c r="K2" s="1">
        <v>5.5555555555555552E-2</v>
      </c>
      <c r="L2" s="1">
        <v>0.32916666666666666</v>
      </c>
      <c r="M2" s="1">
        <v>5.5555555555555552E-2</v>
      </c>
      <c r="N2" s="1">
        <v>0.24166666666666667</v>
      </c>
      <c r="O2" s="1">
        <v>9.7916666666666666E-2</v>
      </c>
      <c r="P2" s="1">
        <v>0.25277777777777777</v>
      </c>
      <c r="Q2" s="1">
        <v>9.4444444444444442E-2</v>
      </c>
      <c r="R2" s="1">
        <v>0.34722222222222221</v>
      </c>
      <c r="S2" s="1">
        <v>9.4444444444444442E-2</v>
      </c>
    </row>
    <row r="3" spans="1:19" x14ac:dyDescent="0.2">
      <c r="A3">
        <v>1</v>
      </c>
      <c r="B3">
        <v>2</v>
      </c>
      <c r="C3" t="s">
        <v>2</v>
      </c>
      <c r="D3">
        <v>1</v>
      </c>
      <c r="E3">
        <f>B3-$B$2</f>
        <v>1</v>
      </c>
      <c r="F3" t="s">
        <v>41</v>
      </c>
      <c r="G3" t="s">
        <v>41</v>
      </c>
      <c r="H3" s="1">
        <v>0.23125000000000001</v>
      </c>
      <c r="I3" s="1">
        <v>5.6944444444444443E-2</v>
      </c>
      <c r="J3" s="1">
        <v>0.2388888888888889</v>
      </c>
      <c r="K3" s="1">
        <v>5.6944444444444443E-2</v>
      </c>
      <c r="L3" s="1">
        <v>0.33055555555555555</v>
      </c>
      <c r="M3" s="1">
        <v>5.6944444444444443E-2</v>
      </c>
      <c r="N3" s="1">
        <v>0.23819444444444443</v>
      </c>
      <c r="O3" s="1">
        <v>9.4444444444444442E-2</v>
      </c>
      <c r="P3" s="1">
        <v>0.25069444444444444</v>
      </c>
      <c r="Q3" s="1">
        <v>9.2361111111111116E-2</v>
      </c>
      <c r="R3" s="1">
        <v>0.34513888888888888</v>
      </c>
      <c r="S3" s="1">
        <v>9.2361111111111116E-2</v>
      </c>
    </row>
    <row r="4" spans="1:19" x14ac:dyDescent="0.2">
      <c r="A4">
        <v>1</v>
      </c>
      <c r="B4">
        <v>3</v>
      </c>
      <c r="C4" t="s">
        <v>3</v>
      </c>
      <c r="D4">
        <v>2</v>
      </c>
      <c r="E4">
        <v>0</v>
      </c>
      <c r="F4" t="s">
        <v>41</v>
      </c>
      <c r="G4" t="s">
        <v>14</v>
      </c>
      <c r="H4" s="1">
        <v>0.2326388888888889</v>
      </c>
      <c r="I4" s="1">
        <v>5.7638888888888892E-2</v>
      </c>
      <c r="J4" s="1">
        <v>0.23958333333333334</v>
      </c>
      <c r="K4" s="1">
        <v>5.7638888888888892E-2</v>
      </c>
      <c r="L4" s="1">
        <v>0.33124999999999999</v>
      </c>
      <c r="M4" s="1">
        <v>5.7638888888888892E-2</v>
      </c>
      <c r="N4" s="1">
        <v>0.23749999999999999</v>
      </c>
      <c r="O4" s="1">
        <v>9.375E-2</v>
      </c>
      <c r="P4" s="1">
        <v>0.24930555555555556</v>
      </c>
      <c r="Q4" s="1">
        <v>9.0972222222222218E-2</v>
      </c>
      <c r="R4" s="1">
        <v>0.34375</v>
      </c>
      <c r="S4" s="1">
        <v>9.0972222222222218E-2</v>
      </c>
    </row>
    <row r="5" spans="1:19" x14ac:dyDescent="0.2">
      <c r="A5">
        <v>1</v>
      </c>
      <c r="B5">
        <v>4</v>
      </c>
      <c r="C5" t="s">
        <v>12</v>
      </c>
      <c r="D5">
        <v>2</v>
      </c>
      <c r="E5">
        <v>1</v>
      </c>
      <c r="F5" t="s">
        <v>41</v>
      </c>
      <c r="G5" t="s">
        <v>41</v>
      </c>
      <c r="H5" s="1">
        <v>0.23472222222222222</v>
      </c>
      <c r="I5" s="1">
        <v>5.9722222222222225E-2</v>
      </c>
      <c r="J5" s="1">
        <v>0.24166666666666667</v>
      </c>
      <c r="K5" s="1">
        <v>5.9722222222222225E-2</v>
      </c>
      <c r="L5" s="1">
        <v>0.33333333333333331</v>
      </c>
      <c r="M5" s="1">
        <v>5.9722222222222225E-2</v>
      </c>
      <c r="N5" s="1">
        <v>0.23472222222222222</v>
      </c>
      <c r="O5" s="1">
        <v>9.0972222222222218E-2</v>
      </c>
      <c r="P5" s="1">
        <v>0.24722222222222223</v>
      </c>
      <c r="Q5" s="1">
        <v>8.8888888888888892E-2</v>
      </c>
      <c r="R5" s="1">
        <v>0.34166666666666667</v>
      </c>
      <c r="S5" s="1">
        <v>8.8888888888888892E-2</v>
      </c>
    </row>
    <row r="6" spans="1:19" x14ac:dyDescent="0.2">
      <c r="A6">
        <v>1</v>
      </c>
      <c r="B6">
        <v>5</v>
      </c>
      <c r="C6" t="s">
        <v>4</v>
      </c>
      <c r="D6">
        <v>1</v>
      </c>
      <c r="E6">
        <v>2</v>
      </c>
      <c r="F6" t="s">
        <v>41</v>
      </c>
      <c r="G6" t="s">
        <v>41</v>
      </c>
      <c r="H6" s="1">
        <v>0.23680555555555555</v>
      </c>
      <c r="I6" s="1">
        <v>6.1805555555555558E-2</v>
      </c>
      <c r="J6" s="1">
        <v>0.24374999999999999</v>
      </c>
      <c r="K6" s="1">
        <v>6.1805555555555558E-2</v>
      </c>
      <c r="L6" s="1">
        <v>0.33541666666666664</v>
      </c>
      <c r="M6" s="1">
        <v>6.1805555555555558E-2</v>
      </c>
      <c r="N6" s="1">
        <v>0.23749999999999999</v>
      </c>
      <c r="O6" s="1">
        <v>8.8888888888888892E-2</v>
      </c>
      <c r="P6" s="1">
        <v>0.24513888888888888</v>
      </c>
      <c r="Q6" s="1">
        <v>8.6805555555555552E-2</v>
      </c>
      <c r="R6" s="1">
        <v>0.33958333333333335</v>
      </c>
      <c r="S6" s="1">
        <v>8.6805555555555552E-2</v>
      </c>
    </row>
    <row r="7" spans="1:19" x14ac:dyDescent="0.2">
      <c r="A7">
        <v>1</v>
      </c>
      <c r="B7">
        <v>6</v>
      </c>
      <c r="C7" t="s">
        <v>5</v>
      </c>
      <c r="D7">
        <v>0</v>
      </c>
      <c r="E7">
        <v>3</v>
      </c>
      <c r="F7" t="s">
        <v>14</v>
      </c>
      <c r="G7" t="s">
        <v>41</v>
      </c>
      <c r="H7" s="1">
        <v>0.2388888888888889</v>
      </c>
      <c r="I7" s="1">
        <v>6.458333333333334E-2</v>
      </c>
      <c r="J7" s="1">
        <v>0.24583333333333332</v>
      </c>
      <c r="K7" s="1">
        <v>6.3888888888888884E-2</v>
      </c>
      <c r="L7" s="1">
        <v>0.33750000000000002</v>
      </c>
      <c r="M7" s="1">
        <v>6.3888888888888884E-2</v>
      </c>
      <c r="N7" s="1">
        <v>0.23472222222222222</v>
      </c>
      <c r="O7" s="1">
        <v>8.611111111111111E-2</v>
      </c>
      <c r="P7" s="1">
        <v>0.24305555555555555</v>
      </c>
      <c r="Q7" s="1">
        <v>8.4722222222222227E-2</v>
      </c>
      <c r="R7" s="1">
        <v>0.33750000000000002</v>
      </c>
      <c r="S7" s="1">
        <v>8.4722222222222227E-2</v>
      </c>
    </row>
    <row r="8" spans="1:19" x14ac:dyDescent="0.2">
      <c r="A8">
        <v>1</v>
      </c>
      <c r="B8">
        <v>7</v>
      </c>
      <c r="C8" t="s">
        <v>6</v>
      </c>
      <c r="D8">
        <v>1</v>
      </c>
      <c r="E8">
        <v>4</v>
      </c>
      <c r="F8" t="s">
        <v>41</v>
      </c>
      <c r="G8" t="s">
        <v>41</v>
      </c>
      <c r="H8" s="1">
        <v>0.24027777777777778</v>
      </c>
      <c r="I8" s="1">
        <v>6.5972222222222224E-2</v>
      </c>
      <c r="J8" s="1">
        <v>0.24652777777777779</v>
      </c>
      <c r="K8" s="1">
        <v>6.458333333333334E-2</v>
      </c>
      <c r="L8" s="1">
        <v>0.33819444444444446</v>
      </c>
      <c r="M8" s="1">
        <v>6.458333333333334E-2</v>
      </c>
      <c r="N8" s="1">
        <v>0.25972222222222224</v>
      </c>
      <c r="O8" s="1">
        <v>8.4722222222222227E-2</v>
      </c>
      <c r="P8" s="1">
        <v>0.25694444444444442</v>
      </c>
      <c r="Q8" s="1">
        <v>8.3333333333333329E-2</v>
      </c>
      <c r="R8" s="1">
        <v>0.34861111111111109</v>
      </c>
      <c r="S8" s="1">
        <v>8.3333333333333329E-2</v>
      </c>
    </row>
    <row r="9" spans="1:19" x14ac:dyDescent="0.2">
      <c r="A9">
        <v>1</v>
      </c>
      <c r="B9">
        <v>8</v>
      </c>
      <c r="C9" t="s">
        <v>7</v>
      </c>
      <c r="D9">
        <v>2</v>
      </c>
      <c r="E9">
        <v>3</v>
      </c>
      <c r="F9" t="s">
        <v>41</v>
      </c>
      <c r="G9" t="s">
        <v>41</v>
      </c>
      <c r="H9" s="1">
        <v>0.24166666666666667</v>
      </c>
      <c r="I9" s="1">
        <v>6.7361111111111108E-2</v>
      </c>
      <c r="J9" s="1">
        <v>0.24861111111111112</v>
      </c>
      <c r="K9" s="1">
        <v>6.6666666666666666E-2</v>
      </c>
      <c r="L9" s="1">
        <v>0.34027777777777779</v>
      </c>
      <c r="M9" s="1">
        <v>6.6666666666666666E-2</v>
      </c>
      <c r="N9" s="1">
        <v>0.25833333333333336</v>
      </c>
      <c r="O9" s="1">
        <v>8.2638888888888887E-2</v>
      </c>
      <c r="P9" s="1">
        <v>0.25555555555555554</v>
      </c>
      <c r="Q9" s="1">
        <v>8.1944444444444445E-2</v>
      </c>
      <c r="R9" s="1">
        <v>0.34722222222222221</v>
      </c>
      <c r="S9" s="1">
        <v>8.1944444444444445E-2</v>
      </c>
    </row>
    <row r="10" spans="1:19" x14ac:dyDescent="0.2">
      <c r="A10">
        <v>1</v>
      </c>
      <c r="B10">
        <v>9</v>
      </c>
      <c r="C10" t="s">
        <v>8</v>
      </c>
      <c r="D10">
        <v>3</v>
      </c>
      <c r="E10">
        <v>2</v>
      </c>
      <c r="F10" t="s">
        <v>41</v>
      </c>
      <c r="G10" t="s">
        <v>41</v>
      </c>
      <c r="H10" s="1">
        <v>0.24305555555555555</v>
      </c>
      <c r="I10" s="1">
        <v>6.8750000000000006E-2</v>
      </c>
      <c r="J10" s="1">
        <v>0.24930555555555556</v>
      </c>
      <c r="K10" s="1">
        <v>6.7361111111111108E-2</v>
      </c>
      <c r="L10" s="1">
        <v>0.34097222222222223</v>
      </c>
      <c r="M10" s="1">
        <v>6.7361111111111108E-2</v>
      </c>
      <c r="N10" s="1">
        <v>0.25694444444444442</v>
      </c>
      <c r="O10" s="1">
        <v>8.1944444444444445E-2</v>
      </c>
      <c r="P10" s="1">
        <v>0.25416666666666665</v>
      </c>
      <c r="Q10" s="1">
        <v>8.0555555555555561E-2</v>
      </c>
      <c r="R10" s="1">
        <v>0.34583333333333333</v>
      </c>
      <c r="S10" s="1">
        <v>8.0555555555555561E-2</v>
      </c>
    </row>
    <row r="11" spans="1:19" x14ac:dyDescent="0.2">
      <c r="A11">
        <v>1</v>
      </c>
      <c r="B11">
        <v>10</v>
      </c>
      <c r="C11" t="s">
        <v>9</v>
      </c>
      <c r="D11">
        <v>4</v>
      </c>
      <c r="E11">
        <v>1</v>
      </c>
      <c r="F11" t="s">
        <v>41</v>
      </c>
      <c r="G11" t="s">
        <v>41</v>
      </c>
      <c r="H11" s="1">
        <v>0.24374999999999999</v>
      </c>
      <c r="I11" s="1">
        <v>6.9444444444444448E-2</v>
      </c>
      <c r="J11" s="1">
        <v>0.25</v>
      </c>
      <c r="K11" s="1">
        <v>6.805555555555555E-2</v>
      </c>
      <c r="L11" s="1">
        <v>0.34166666666666667</v>
      </c>
      <c r="M11" s="1">
        <v>6.805555555555555E-2</v>
      </c>
      <c r="N11" s="1">
        <v>0.25624999999999998</v>
      </c>
      <c r="O11" s="1">
        <v>8.0555555555555561E-2</v>
      </c>
      <c r="P11" s="1">
        <v>0.25347222222222221</v>
      </c>
      <c r="Q11" s="1">
        <v>7.9861111111111105E-2</v>
      </c>
      <c r="R11" s="1">
        <v>0.34513888888888888</v>
      </c>
      <c r="S11" s="1">
        <v>7.9861111111111105E-2</v>
      </c>
    </row>
    <row r="12" spans="1:19" x14ac:dyDescent="0.2">
      <c r="A12">
        <v>1</v>
      </c>
      <c r="B12">
        <v>11</v>
      </c>
      <c r="C12" t="s">
        <v>10</v>
      </c>
      <c r="D12">
        <v>5</v>
      </c>
      <c r="E12">
        <v>0</v>
      </c>
      <c r="F12" t="s">
        <v>41</v>
      </c>
      <c r="G12" t="s">
        <v>14</v>
      </c>
      <c r="H12" s="1">
        <v>0.24513888888888888</v>
      </c>
      <c r="I12" s="1">
        <v>7.0833333333333331E-2</v>
      </c>
      <c r="J12" s="1">
        <v>0.25138888888888888</v>
      </c>
      <c r="K12" s="1">
        <v>6.9444444444444448E-2</v>
      </c>
      <c r="L12" s="1">
        <v>0.34305555555555556</v>
      </c>
      <c r="M12" s="1">
        <v>6.9444444444444448E-2</v>
      </c>
      <c r="N12" s="1">
        <v>0.25486111111111109</v>
      </c>
      <c r="O12" s="1">
        <v>7.9166666666666663E-2</v>
      </c>
      <c r="P12" s="1">
        <v>0.25208333333333333</v>
      </c>
      <c r="Q12" s="1">
        <v>7.8472222222222221E-2</v>
      </c>
      <c r="R12" s="1">
        <v>0.34375</v>
      </c>
      <c r="S12" s="1">
        <v>7.8472222222222221E-2</v>
      </c>
    </row>
    <row r="13" spans="1:19" x14ac:dyDescent="0.2">
      <c r="A13">
        <v>1</v>
      </c>
      <c r="B13">
        <v>12</v>
      </c>
      <c r="C13" t="s">
        <v>11</v>
      </c>
      <c r="D13">
        <v>6</v>
      </c>
      <c r="E13">
        <v>1</v>
      </c>
      <c r="F13" t="s">
        <v>41</v>
      </c>
      <c r="G13" t="s">
        <v>41</v>
      </c>
      <c r="H13" s="1">
        <v>0.24583333333333332</v>
      </c>
      <c r="I13" s="1">
        <v>7.1527777777777773E-2</v>
      </c>
      <c r="J13" s="1">
        <v>0.25208333333333333</v>
      </c>
      <c r="K13" s="1">
        <v>7.013888888888889E-2</v>
      </c>
      <c r="L13" s="1">
        <v>0.34375</v>
      </c>
      <c r="M13" s="1">
        <v>7.013888888888889E-2</v>
      </c>
      <c r="N13" s="1">
        <v>0.25694444444444442</v>
      </c>
      <c r="O13" s="1">
        <v>7.8472222222222221E-2</v>
      </c>
      <c r="P13" s="1">
        <v>0.25069444444444444</v>
      </c>
      <c r="Q13" s="1">
        <v>7.7083333333333337E-2</v>
      </c>
      <c r="R13" s="1">
        <v>0.34236111111111112</v>
      </c>
      <c r="S13" s="1">
        <v>7.7083333333333337E-2</v>
      </c>
    </row>
    <row r="14" spans="1:19" x14ac:dyDescent="0.2">
      <c r="A14">
        <v>1</v>
      </c>
      <c r="B14">
        <v>13</v>
      </c>
      <c r="C14" t="s">
        <v>15</v>
      </c>
      <c r="D14">
        <v>7</v>
      </c>
      <c r="E14">
        <v>2</v>
      </c>
      <c r="F14" t="s">
        <v>41</v>
      </c>
      <c r="G14" t="s">
        <v>41</v>
      </c>
      <c r="H14" s="1">
        <v>0.24722222222222223</v>
      </c>
      <c r="I14" s="1">
        <v>7.2916666666666671E-2</v>
      </c>
      <c r="J14" s="1">
        <v>0.25277777777777777</v>
      </c>
      <c r="K14" s="1">
        <v>7.0833333333333331E-2</v>
      </c>
      <c r="L14" s="1">
        <v>0.34444444444444444</v>
      </c>
      <c r="M14" s="1">
        <v>7.0833333333333331E-2</v>
      </c>
      <c r="N14" s="1">
        <v>0.25555555555555554</v>
      </c>
      <c r="O14" s="1">
        <v>7.7777777777777779E-2</v>
      </c>
      <c r="P14" s="1">
        <v>0.25</v>
      </c>
      <c r="Q14" s="1">
        <v>7.6388888888888895E-2</v>
      </c>
      <c r="R14" s="1">
        <v>0.34166666666666667</v>
      </c>
      <c r="S14" s="1">
        <v>7.6388888888888895E-2</v>
      </c>
    </row>
    <row r="15" spans="1:19" x14ac:dyDescent="0.2">
      <c r="A15">
        <v>1</v>
      </c>
      <c r="B15">
        <v>14</v>
      </c>
      <c r="C15" t="s">
        <v>16</v>
      </c>
      <c r="D15">
        <v>6</v>
      </c>
      <c r="E15">
        <v>3</v>
      </c>
      <c r="F15" t="s">
        <v>41</v>
      </c>
      <c r="G15" t="s">
        <v>41</v>
      </c>
      <c r="H15" s="1">
        <v>0.24791666666666667</v>
      </c>
      <c r="I15" s="1">
        <v>7.3611111111111113E-2</v>
      </c>
      <c r="J15" s="1">
        <v>0.25416666666666665</v>
      </c>
      <c r="K15" s="1">
        <v>7.2222222222222215E-2</v>
      </c>
      <c r="L15" s="1">
        <v>0.34583333333333333</v>
      </c>
      <c r="M15" s="1">
        <v>7.2222222222222215E-2</v>
      </c>
      <c r="N15" s="1">
        <v>0.25486111111111109</v>
      </c>
      <c r="O15" s="1">
        <v>7.7083333333333337E-2</v>
      </c>
      <c r="P15" s="1">
        <v>0.24930555555555556</v>
      </c>
      <c r="Q15" s="1">
        <v>7.5694444444444439E-2</v>
      </c>
      <c r="R15" s="1">
        <v>0.34097222222222223</v>
      </c>
      <c r="S15" s="1">
        <v>7.5694444444444439E-2</v>
      </c>
    </row>
    <row r="16" spans="1:19" x14ac:dyDescent="0.2">
      <c r="A16">
        <v>1</v>
      </c>
      <c r="B16">
        <v>15</v>
      </c>
      <c r="C16" t="s">
        <v>17</v>
      </c>
      <c r="D16">
        <v>5</v>
      </c>
      <c r="E16">
        <v>2</v>
      </c>
      <c r="F16" t="s">
        <v>41</v>
      </c>
      <c r="G16" t="s">
        <v>41</v>
      </c>
      <c r="H16" s="1">
        <v>0.24861111111111112</v>
      </c>
      <c r="I16" s="1">
        <v>7.4305555555555555E-2</v>
      </c>
      <c r="J16" s="1">
        <v>0.25486111111111109</v>
      </c>
      <c r="K16" s="1">
        <v>7.2916666666666671E-2</v>
      </c>
      <c r="L16" s="1">
        <v>0.34652777777777777</v>
      </c>
      <c r="M16" s="1">
        <v>7.2916666666666671E-2</v>
      </c>
      <c r="N16" s="1">
        <v>0.25347222222222221</v>
      </c>
      <c r="O16" s="1">
        <v>7.6388888888888895E-2</v>
      </c>
      <c r="P16" s="1">
        <v>0.24791666666666667</v>
      </c>
      <c r="Q16" s="1">
        <v>7.4305555555555555E-2</v>
      </c>
      <c r="R16" s="1">
        <v>0.33958333333333335</v>
      </c>
      <c r="S16" s="1">
        <v>7.4305555555555555E-2</v>
      </c>
    </row>
    <row r="17" spans="1:19" x14ac:dyDescent="0.2">
      <c r="A17">
        <v>1</v>
      </c>
      <c r="B17">
        <v>16</v>
      </c>
      <c r="C17" t="s">
        <v>18</v>
      </c>
      <c r="D17">
        <v>4</v>
      </c>
      <c r="E17">
        <v>1</v>
      </c>
      <c r="F17" t="s">
        <v>41</v>
      </c>
      <c r="G17" t="s">
        <v>41</v>
      </c>
      <c r="H17" s="1">
        <v>0.24930555555555556</v>
      </c>
      <c r="I17" s="1">
        <v>7.5694444444444439E-2</v>
      </c>
      <c r="J17" s="1">
        <v>0.25555555555555554</v>
      </c>
      <c r="K17" s="1">
        <v>7.3611111111111113E-2</v>
      </c>
      <c r="L17" s="1">
        <v>0.34722222222222221</v>
      </c>
      <c r="M17" s="1">
        <v>7.3611111111111113E-2</v>
      </c>
      <c r="N17" s="1">
        <v>0.25277777777777777</v>
      </c>
      <c r="O17" s="1">
        <v>7.4999999999999997E-2</v>
      </c>
      <c r="P17" s="1">
        <v>0.24722222222222223</v>
      </c>
      <c r="Q17" s="1">
        <v>7.3611111111111113E-2</v>
      </c>
      <c r="R17" s="1">
        <v>0.33819444444444446</v>
      </c>
      <c r="S17" s="1">
        <v>7.3611111111111113E-2</v>
      </c>
    </row>
    <row r="18" spans="1:19" x14ac:dyDescent="0.2">
      <c r="A18">
        <v>1</v>
      </c>
      <c r="B18">
        <v>17</v>
      </c>
      <c r="C18" t="s">
        <v>19</v>
      </c>
      <c r="D18">
        <v>3</v>
      </c>
      <c r="E18">
        <v>0</v>
      </c>
      <c r="F18" t="s">
        <v>41</v>
      </c>
      <c r="G18" t="s">
        <v>14</v>
      </c>
      <c r="H18" s="1">
        <v>0.25069444444444444</v>
      </c>
      <c r="I18" s="1">
        <v>7.6388888888888895E-2</v>
      </c>
      <c r="J18" s="1">
        <v>0.25624999999999998</v>
      </c>
      <c r="K18" s="1">
        <v>7.4305555555555555E-2</v>
      </c>
      <c r="L18" s="1">
        <v>0.34791666666666665</v>
      </c>
      <c r="M18" s="1">
        <v>7.4305555555555555E-2</v>
      </c>
      <c r="N18" s="1">
        <v>0.25138888888888888</v>
      </c>
      <c r="O18" s="1">
        <v>7.4305555555555555E-2</v>
      </c>
      <c r="P18" s="1">
        <v>0.24652777777777779</v>
      </c>
      <c r="Q18" s="1">
        <v>7.2916666666666671E-2</v>
      </c>
      <c r="R18" s="1">
        <v>0.33819444444444446</v>
      </c>
      <c r="S18" s="1">
        <v>7.2916666666666671E-2</v>
      </c>
    </row>
    <row r="19" spans="1:19" x14ac:dyDescent="0.2">
      <c r="A19">
        <v>1</v>
      </c>
      <c r="B19">
        <v>18</v>
      </c>
      <c r="C19" t="s">
        <v>20</v>
      </c>
      <c r="D19">
        <v>2</v>
      </c>
      <c r="E19">
        <v>1</v>
      </c>
      <c r="F19" t="s">
        <v>41</v>
      </c>
      <c r="G19" t="s">
        <v>41</v>
      </c>
      <c r="H19" s="1">
        <v>0.25138888888888888</v>
      </c>
      <c r="I19" s="1">
        <v>7.7777777777777779E-2</v>
      </c>
      <c r="J19" s="1">
        <v>0.25763888888888886</v>
      </c>
      <c r="K19" s="1">
        <v>7.5694444444444439E-2</v>
      </c>
      <c r="L19" s="1">
        <v>0.34930555555555554</v>
      </c>
      <c r="M19" s="1">
        <v>7.5694444444444439E-2</v>
      </c>
      <c r="N19" s="1">
        <v>0.25624999999999998</v>
      </c>
      <c r="O19" s="1">
        <v>7.2916666666666671E-2</v>
      </c>
      <c r="P19" s="1">
        <v>0.24930555555555556</v>
      </c>
      <c r="Q19" s="1">
        <v>7.1527777777777773E-2</v>
      </c>
      <c r="R19" s="1">
        <v>0.33680555555555558</v>
      </c>
      <c r="S19" s="1">
        <v>7.1527777777777773E-2</v>
      </c>
    </row>
    <row r="20" spans="1:19" x14ac:dyDescent="0.2">
      <c r="A20">
        <v>1</v>
      </c>
      <c r="B20">
        <v>19</v>
      </c>
      <c r="C20" t="s">
        <v>21</v>
      </c>
      <c r="D20">
        <v>1</v>
      </c>
      <c r="E20">
        <v>2</v>
      </c>
      <c r="F20" t="s">
        <v>41</v>
      </c>
      <c r="G20" t="s">
        <v>41</v>
      </c>
      <c r="H20" s="1">
        <v>0.25277777777777777</v>
      </c>
      <c r="I20" s="1">
        <v>7.8472222222222221E-2</v>
      </c>
      <c r="J20" s="1">
        <v>0.25833333333333336</v>
      </c>
      <c r="K20" s="1">
        <v>7.6388888888888895E-2</v>
      </c>
      <c r="L20" s="1">
        <v>0.35</v>
      </c>
      <c r="M20" s="1">
        <v>7.6388888888888895E-2</v>
      </c>
      <c r="N20" s="1">
        <v>0.25486111111111109</v>
      </c>
      <c r="O20" s="1">
        <v>7.2222222222222215E-2</v>
      </c>
      <c r="P20" s="1">
        <v>0.24861111111111112</v>
      </c>
      <c r="Q20" s="1">
        <v>7.0833333333333331E-2</v>
      </c>
      <c r="R20" s="1">
        <v>0.33611111111111114</v>
      </c>
      <c r="S20" s="1">
        <v>7.0833333333333331E-2</v>
      </c>
    </row>
    <row r="21" spans="1:19" x14ac:dyDescent="0.2">
      <c r="A21">
        <v>1</v>
      </c>
      <c r="B21">
        <v>20</v>
      </c>
      <c r="C21" t="s">
        <v>91</v>
      </c>
      <c r="D21">
        <v>0</v>
      </c>
      <c r="E21">
        <v>3</v>
      </c>
      <c r="F21" t="s">
        <v>14</v>
      </c>
      <c r="G21" t="s">
        <v>41</v>
      </c>
      <c r="H21" s="1">
        <v>0.25347222222222221</v>
      </c>
      <c r="I21" s="1">
        <v>7.9166666666666663E-2</v>
      </c>
      <c r="J21" s="1">
        <v>0.2590277777777778</v>
      </c>
      <c r="K21" s="1">
        <v>7.7083333333333337E-2</v>
      </c>
      <c r="L21" s="1">
        <v>0.35069444444444442</v>
      </c>
      <c r="M21" s="1">
        <v>7.7083333333333337E-2</v>
      </c>
      <c r="N21" s="1">
        <v>0.25416666666666665</v>
      </c>
      <c r="O21" s="1">
        <v>7.1527777777777773E-2</v>
      </c>
      <c r="P21" s="1">
        <v>0.24791666666666667</v>
      </c>
      <c r="Q21" s="1">
        <v>7.013888888888889E-2</v>
      </c>
      <c r="R21" s="1">
        <v>0.33541666666666664</v>
      </c>
      <c r="S21" s="1">
        <v>7.013888888888889E-2</v>
      </c>
    </row>
    <row r="22" spans="1:19" x14ac:dyDescent="0.2">
      <c r="A22">
        <v>1</v>
      </c>
      <c r="B22">
        <v>21</v>
      </c>
      <c r="C22" t="s">
        <v>22</v>
      </c>
      <c r="D22">
        <v>1</v>
      </c>
      <c r="E22">
        <v>2</v>
      </c>
      <c r="F22" t="s">
        <v>41</v>
      </c>
      <c r="G22" t="s">
        <v>41</v>
      </c>
      <c r="H22" s="1">
        <v>0.25486111111111109</v>
      </c>
      <c r="I22" s="1">
        <v>8.0555555555555561E-2</v>
      </c>
      <c r="J22" s="1">
        <v>0.25972222222222224</v>
      </c>
      <c r="K22" s="1">
        <v>7.7777777777777779E-2</v>
      </c>
      <c r="L22" s="1">
        <v>0.35138888888888886</v>
      </c>
      <c r="M22" s="1">
        <v>7.7777777777777779E-2</v>
      </c>
      <c r="N22" s="1">
        <v>0.25277777777777777</v>
      </c>
      <c r="O22" s="1">
        <v>7.013888888888889E-2</v>
      </c>
      <c r="P22" s="1">
        <v>0.25138888888888888</v>
      </c>
      <c r="Q22" s="1">
        <v>6.9444444444444448E-2</v>
      </c>
      <c r="R22" s="1">
        <v>0.3347222222222222</v>
      </c>
      <c r="S22" s="1">
        <v>6.9444444444444448E-2</v>
      </c>
    </row>
    <row r="23" spans="1:19" x14ac:dyDescent="0.2">
      <c r="A23">
        <v>1</v>
      </c>
      <c r="B23">
        <v>22</v>
      </c>
      <c r="C23" t="s">
        <v>24</v>
      </c>
      <c r="D23">
        <v>2</v>
      </c>
      <c r="E23">
        <v>1</v>
      </c>
      <c r="F23" t="s">
        <v>41</v>
      </c>
      <c r="G23" t="s">
        <v>41</v>
      </c>
      <c r="H23" s="1">
        <v>0.25624999999999998</v>
      </c>
      <c r="I23" s="1">
        <v>8.1944444444444445E-2</v>
      </c>
      <c r="J23" s="1">
        <v>0.26111111111111113</v>
      </c>
      <c r="K23" s="1">
        <v>7.9166666666666663E-2</v>
      </c>
      <c r="L23" s="1">
        <v>0.3527777777777778</v>
      </c>
      <c r="M23" s="1">
        <v>7.9166666666666663E-2</v>
      </c>
      <c r="N23" s="1">
        <v>0.25138888888888888</v>
      </c>
      <c r="O23" s="1">
        <v>6.8750000000000006E-2</v>
      </c>
      <c r="P23" s="1">
        <v>0.25</v>
      </c>
      <c r="Q23" s="1">
        <v>6.805555555555555E-2</v>
      </c>
      <c r="R23" s="1">
        <v>0.33333333333333331</v>
      </c>
      <c r="S23" s="1">
        <v>6.805555555555555E-2</v>
      </c>
    </row>
    <row r="24" spans="1:19" x14ac:dyDescent="0.2">
      <c r="A24">
        <v>1</v>
      </c>
      <c r="B24">
        <v>23</v>
      </c>
      <c r="C24" t="s">
        <v>25</v>
      </c>
      <c r="D24">
        <v>3</v>
      </c>
      <c r="E24">
        <v>0</v>
      </c>
      <c r="F24" t="s">
        <v>41</v>
      </c>
      <c r="G24" t="s">
        <v>14</v>
      </c>
      <c r="H24" s="1">
        <v>0.25694444444444442</v>
      </c>
      <c r="I24" s="1">
        <v>8.2638888888888887E-2</v>
      </c>
      <c r="J24" s="1">
        <v>0.26180555555555557</v>
      </c>
      <c r="K24" s="1">
        <v>7.9861111111111105E-2</v>
      </c>
      <c r="L24" s="1">
        <v>0.35347222222222224</v>
      </c>
      <c r="M24" s="1">
        <v>7.9861111111111105E-2</v>
      </c>
      <c r="N24" s="1">
        <v>0.25069444444444444</v>
      </c>
      <c r="O24" s="1">
        <v>6.805555555555555E-2</v>
      </c>
      <c r="P24" s="1">
        <v>0.24861111111111112</v>
      </c>
      <c r="Q24" s="1">
        <v>6.6666666666666666E-2</v>
      </c>
      <c r="R24" s="1">
        <v>0.33194444444444443</v>
      </c>
      <c r="S24" s="1">
        <v>6.6666666666666666E-2</v>
      </c>
    </row>
    <row r="25" spans="1:19" x14ac:dyDescent="0.2">
      <c r="A25">
        <v>1</v>
      </c>
      <c r="B25">
        <v>24</v>
      </c>
      <c r="C25" t="s">
        <v>26</v>
      </c>
      <c r="D25">
        <v>4</v>
      </c>
      <c r="E25">
        <v>0</v>
      </c>
      <c r="F25" t="s">
        <v>41</v>
      </c>
      <c r="G25" t="s">
        <v>14</v>
      </c>
      <c r="H25" s="1">
        <v>0.25833333333333336</v>
      </c>
      <c r="I25" s="1">
        <v>8.4027777777777785E-2</v>
      </c>
      <c r="J25" s="1">
        <v>0.26319444444444445</v>
      </c>
      <c r="K25" s="1">
        <v>8.1250000000000003E-2</v>
      </c>
      <c r="L25" s="1">
        <v>0.35486111111111113</v>
      </c>
      <c r="M25" s="1">
        <v>8.1250000000000003E-2</v>
      </c>
      <c r="N25" s="1">
        <v>0.25416666666666665</v>
      </c>
      <c r="O25" s="1">
        <v>6.6666666666666666E-2</v>
      </c>
      <c r="P25" s="1">
        <v>0.25208333333333333</v>
      </c>
      <c r="Q25" s="1">
        <v>6.5972222222222224E-2</v>
      </c>
      <c r="R25" s="1">
        <v>0.33124999999999999</v>
      </c>
      <c r="S25" s="1">
        <v>6.5972222222222224E-2</v>
      </c>
    </row>
    <row r="26" spans="1:19" x14ac:dyDescent="0.2">
      <c r="A26">
        <v>1</v>
      </c>
      <c r="B26">
        <v>25</v>
      </c>
      <c r="C26" t="s">
        <v>27</v>
      </c>
      <c r="D26">
        <v>5</v>
      </c>
      <c r="E26">
        <v>1</v>
      </c>
      <c r="F26" t="s">
        <v>41</v>
      </c>
      <c r="G26" t="s">
        <v>41</v>
      </c>
      <c r="H26" s="1">
        <v>0.2590277777777778</v>
      </c>
      <c r="I26" s="1">
        <v>8.4722222222222227E-2</v>
      </c>
      <c r="J26" s="1">
        <v>0.2638888888888889</v>
      </c>
      <c r="K26" s="1">
        <v>8.1944444444444445E-2</v>
      </c>
      <c r="L26" s="1">
        <v>0.35555555555555557</v>
      </c>
      <c r="M26" s="1">
        <v>8.1944444444444445E-2</v>
      </c>
      <c r="N26" s="1">
        <v>0.25347222222222221</v>
      </c>
      <c r="O26" s="1">
        <v>6.5972222222222224E-2</v>
      </c>
      <c r="P26" s="1">
        <v>0.25138888888888888</v>
      </c>
      <c r="Q26" s="1">
        <v>6.5972222222222224E-2</v>
      </c>
      <c r="R26" s="1">
        <v>0.33055555555555555</v>
      </c>
      <c r="S26" s="1">
        <v>6.5277777777777782E-2</v>
      </c>
    </row>
    <row r="27" spans="1:19" x14ac:dyDescent="0.2">
      <c r="A27">
        <v>1</v>
      </c>
      <c r="B27">
        <v>26</v>
      </c>
      <c r="C27" t="s">
        <v>28</v>
      </c>
      <c r="D27">
        <v>5</v>
      </c>
      <c r="E27">
        <v>2</v>
      </c>
      <c r="F27" t="s">
        <v>41</v>
      </c>
      <c r="G27" t="s">
        <v>41</v>
      </c>
      <c r="H27" s="1">
        <v>0.26111111111111113</v>
      </c>
      <c r="I27" s="1">
        <v>8.6805555555555552E-2</v>
      </c>
      <c r="J27" s="1">
        <v>0.26597222222222222</v>
      </c>
      <c r="K27" s="1">
        <v>8.4027777777777785E-2</v>
      </c>
      <c r="L27" s="1">
        <v>0.3576388888888889</v>
      </c>
      <c r="M27" s="1">
        <v>8.4027777777777785E-2</v>
      </c>
      <c r="N27" s="1">
        <v>0.25138888888888888</v>
      </c>
      <c r="O27" s="1">
        <v>6.3888888888888884E-2</v>
      </c>
      <c r="P27" s="1">
        <v>0.24930555555555556</v>
      </c>
      <c r="Q27" s="1">
        <v>6.3194444444444442E-2</v>
      </c>
      <c r="R27" s="1">
        <v>0.32847222222222222</v>
      </c>
      <c r="S27" s="1">
        <v>6.3194444444444442E-2</v>
      </c>
    </row>
    <row r="28" spans="1:19" x14ac:dyDescent="0.2">
      <c r="A28">
        <v>1</v>
      </c>
      <c r="B28">
        <v>27</v>
      </c>
      <c r="C28" t="s">
        <v>29</v>
      </c>
      <c r="D28">
        <v>4</v>
      </c>
      <c r="E28">
        <v>3</v>
      </c>
      <c r="F28" t="s">
        <v>41</v>
      </c>
      <c r="G28" t="s">
        <v>41</v>
      </c>
      <c r="H28" s="1">
        <v>0.26458333333333334</v>
      </c>
      <c r="I28" s="1">
        <v>9.0277777777777776E-2</v>
      </c>
      <c r="J28" s="1">
        <v>0.26874999999999999</v>
      </c>
      <c r="K28" s="1">
        <v>8.6805555555555552E-2</v>
      </c>
      <c r="L28" s="1">
        <v>0.36041666666666666</v>
      </c>
      <c r="M28" s="1">
        <v>8.6805555555555552E-2</v>
      </c>
      <c r="N28" s="1">
        <v>0.25277777777777777</v>
      </c>
      <c r="O28" s="1">
        <v>6.1111111111111109E-2</v>
      </c>
      <c r="P28" s="1">
        <v>0.25</v>
      </c>
      <c r="Q28" s="1">
        <v>5.9722222222222225E-2</v>
      </c>
      <c r="R28" s="1">
        <v>0.32500000000000001</v>
      </c>
      <c r="S28" s="1">
        <v>5.9722222222222225E-2</v>
      </c>
    </row>
    <row r="29" spans="1:19" x14ac:dyDescent="0.2">
      <c r="A29">
        <v>1</v>
      </c>
      <c r="B29">
        <v>28</v>
      </c>
      <c r="C29" t="s">
        <v>30</v>
      </c>
      <c r="D29">
        <v>3</v>
      </c>
      <c r="E29">
        <v>4</v>
      </c>
      <c r="F29" t="s">
        <v>41</v>
      </c>
      <c r="G29" t="s">
        <v>41</v>
      </c>
      <c r="H29" s="1">
        <v>0.26527777777777778</v>
      </c>
      <c r="I29" s="1">
        <v>9.0972222222222218E-2</v>
      </c>
      <c r="J29" s="1">
        <v>0.27013888888888887</v>
      </c>
      <c r="K29" s="1">
        <v>8.819444444444445E-2</v>
      </c>
      <c r="L29" s="1">
        <v>0.36180555555555555</v>
      </c>
      <c r="M29" s="1">
        <v>8.819444444444445E-2</v>
      </c>
      <c r="N29" s="1">
        <v>0.25138888888888888</v>
      </c>
      <c r="O29" s="1">
        <v>5.9722222222222225E-2</v>
      </c>
      <c r="P29" s="1">
        <v>0.24930555555555556</v>
      </c>
      <c r="Q29" s="1">
        <v>5.9027777777777776E-2</v>
      </c>
      <c r="R29" s="1">
        <v>0.32430555555555557</v>
      </c>
      <c r="S29" s="1">
        <v>5.9027777777777776E-2</v>
      </c>
    </row>
    <row r="30" spans="1:19" x14ac:dyDescent="0.2">
      <c r="A30">
        <v>1</v>
      </c>
      <c r="B30">
        <v>29</v>
      </c>
      <c r="C30" t="s">
        <v>31</v>
      </c>
      <c r="D30">
        <v>2</v>
      </c>
      <c r="E30">
        <v>5</v>
      </c>
      <c r="F30" t="s">
        <v>41</v>
      </c>
      <c r="G30" t="s">
        <v>41</v>
      </c>
      <c r="H30" s="1">
        <v>0.26666666666666666</v>
      </c>
      <c r="I30" s="1">
        <v>9.2361111111111116E-2</v>
      </c>
      <c r="J30" s="1">
        <v>0.27083333333333331</v>
      </c>
      <c r="K30" s="1">
        <v>8.8888888888888892E-2</v>
      </c>
      <c r="L30" s="1">
        <v>0.36249999999999999</v>
      </c>
      <c r="M30" s="1">
        <v>8.8888888888888892E-2</v>
      </c>
      <c r="N30" s="1">
        <v>0.25</v>
      </c>
      <c r="O30" s="1">
        <v>5.9027777777777776E-2</v>
      </c>
      <c r="P30" s="1">
        <v>0.24791666666666667</v>
      </c>
      <c r="Q30" s="1">
        <v>5.7638888888888892E-2</v>
      </c>
      <c r="R30" s="1">
        <v>0.32291666666666669</v>
      </c>
      <c r="S30" s="1">
        <v>5.7638888888888892E-2</v>
      </c>
    </row>
    <row r="31" spans="1:19" x14ac:dyDescent="0.2">
      <c r="A31">
        <v>1</v>
      </c>
      <c r="B31">
        <v>30</v>
      </c>
      <c r="C31" t="s">
        <v>32</v>
      </c>
      <c r="D31">
        <v>1</v>
      </c>
      <c r="E31">
        <v>6</v>
      </c>
      <c r="F31" t="s">
        <v>41</v>
      </c>
      <c r="G31" t="s">
        <v>41</v>
      </c>
      <c r="H31" s="1">
        <v>0.26805555555555555</v>
      </c>
      <c r="I31" s="1">
        <v>9.4444444444444442E-2</v>
      </c>
      <c r="J31" s="1">
        <v>0.2722222222222222</v>
      </c>
      <c r="K31" s="1">
        <v>9.0277777777777776E-2</v>
      </c>
      <c r="L31" s="1">
        <v>0.36388888888888887</v>
      </c>
      <c r="M31" s="1">
        <v>9.0277777777777776E-2</v>
      </c>
      <c r="N31" s="1">
        <v>0.24861111111111112</v>
      </c>
      <c r="O31" s="1">
        <v>5.7638888888888892E-2</v>
      </c>
      <c r="P31" s="1">
        <v>0.24722222222222223</v>
      </c>
      <c r="Q31" s="1">
        <v>5.6944444444444443E-2</v>
      </c>
      <c r="R31" s="1">
        <v>0.32222222222222224</v>
      </c>
      <c r="S31" s="1">
        <v>5.6944444444444443E-2</v>
      </c>
    </row>
    <row r="32" spans="1:19" x14ac:dyDescent="0.2">
      <c r="A32">
        <v>1</v>
      </c>
      <c r="B32">
        <v>31</v>
      </c>
      <c r="C32" t="s">
        <v>33</v>
      </c>
      <c r="D32">
        <v>0</v>
      </c>
      <c r="E32">
        <v>7</v>
      </c>
      <c r="F32" t="s">
        <v>14</v>
      </c>
      <c r="G32" t="s">
        <v>41</v>
      </c>
      <c r="H32" s="1">
        <v>0.26944444444444443</v>
      </c>
      <c r="I32" s="1">
        <v>9.583333333333334E-2</v>
      </c>
      <c r="J32" s="1">
        <v>0.27361111111111114</v>
      </c>
      <c r="K32" s="1">
        <v>9.166666666666666E-2</v>
      </c>
      <c r="L32" s="1">
        <v>0.36527777777777776</v>
      </c>
      <c r="M32" s="1">
        <v>9.166666666666666E-2</v>
      </c>
      <c r="N32" s="1">
        <v>0.24722222222222223</v>
      </c>
      <c r="O32" s="1">
        <v>5.6250000000000001E-2</v>
      </c>
      <c r="P32" s="1">
        <v>0.24583333333333332</v>
      </c>
      <c r="Q32" s="1">
        <v>5.5555555555555552E-2</v>
      </c>
      <c r="R32" s="1">
        <v>0.32083333333333336</v>
      </c>
      <c r="S32" s="1">
        <v>5.5555555555555552E-2</v>
      </c>
    </row>
    <row r="33" spans="1:19" x14ac:dyDescent="0.2">
      <c r="A33">
        <v>1</v>
      </c>
      <c r="B33">
        <v>32</v>
      </c>
      <c r="C33" t="s">
        <v>34</v>
      </c>
      <c r="D33">
        <v>0</v>
      </c>
      <c r="E33">
        <v>6</v>
      </c>
      <c r="F33" t="s">
        <v>14</v>
      </c>
      <c r="G33" t="s">
        <v>41</v>
      </c>
      <c r="H33" s="1">
        <v>0.24027777777777778</v>
      </c>
      <c r="I33" s="1">
        <v>9.8611111111111108E-2</v>
      </c>
      <c r="J33" s="1">
        <v>0.24791666666666667</v>
      </c>
      <c r="K33" s="1">
        <v>9.5138888888888884E-2</v>
      </c>
      <c r="L33" s="1">
        <v>0.32291666666666669</v>
      </c>
      <c r="M33" s="1">
        <v>9.5138888888888884E-2</v>
      </c>
      <c r="N33" s="1">
        <v>0.25347222222222221</v>
      </c>
      <c r="O33" s="1">
        <v>6.6666666666666666E-2</v>
      </c>
      <c r="P33" s="1">
        <v>0.25208333333333333</v>
      </c>
      <c r="Q33" s="1">
        <v>6.5972222222222224E-2</v>
      </c>
      <c r="R33" s="1">
        <v>0.33541666666666664</v>
      </c>
      <c r="S33" s="1">
        <v>6.5972222222222224E-2</v>
      </c>
    </row>
    <row r="34" spans="1:19" x14ac:dyDescent="0.2">
      <c r="A34">
        <v>1</v>
      </c>
      <c r="B34">
        <v>33</v>
      </c>
      <c r="C34" t="s">
        <v>35</v>
      </c>
      <c r="D34">
        <v>1</v>
      </c>
      <c r="E34">
        <v>5</v>
      </c>
      <c r="F34" t="s">
        <v>41</v>
      </c>
      <c r="G34" t="s">
        <v>41</v>
      </c>
      <c r="H34" s="1">
        <v>0.24166666666666667</v>
      </c>
      <c r="I34" s="1">
        <v>0.10069444444444445</v>
      </c>
      <c r="J34" s="1">
        <v>0.24930555555555556</v>
      </c>
      <c r="K34" s="1">
        <v>9.6527777777777782E-2</v>
      </c>
      <c r="L34" s="1">
        <v>0.32430555555555557</v>
      </c>
      <c r="M34" s="1">
        <v>9.6527777777777782E-2</v>
      </c>
      <c r="N34" s="1">
        <v>0.25138888888888888</v>
      </c>
      <c r="O34" s="1">
        <v>6.5277777777777782E-2</v>
      </c>
      <c r="P34" s="1">
        <v>0.25</v>
      </c>
      <c r="Q34" s="1">
        <v>6.3888888888888884E-2</v>
      </c>
      <c r="R34" s="1">
        <v>0.33333333333333331</v>
      </c>
      <c r="S34" s="1">
        <v>6.3888888888888884E-2</v>
      </c>
    </row>
    <row r="35" spans="1:19" x14ac:dyDescent="0.2">
      <c r="A35">
        <v>1</v>
      </c>
      <c r="B35">
        <v>34</v>
      </c>
      <c r="C35" t="s">
        <v>36</v>
      </c>
      <c r="D35">
        <v>2</v>
      </c>
      <c r="E35">
        <v>4</v>
      </c>
      <c r="F35" t="s">
        <v>41</v>
      </c>
      <c r="G35" t="s">
        <v>41</v>
      </c>
      <c r="H35" s="1">
        <v>0.24374999999999999</v>
      </c>
      <c r="I35" s="1">
        <v>0.10208333333333333</v>
      </c>
      <c r="J35" s="1">
        <v>0.25138888888888888</v>
      </c>
      <c r="K35" s="1">
        <v>9.8611111111111108E-2</v>
      </c>
      <c r="L35" s="1">
        <v>0.3263888888888889</v>
      </c>
      <c r="M35" s="1">
        <v>9.8611111111111108E-2</v>
      </c>
      <c r="N35" s="1">
        <v>0.25</v>
      </c>
      <c r="O35" s="1">
        <v>6.3194444444444442E-2</v>
      </c>
      <c r="P35" s="1">
        <v>0.24861111111111112</v>
      </c>
      <c r="Q35" s="1">
        <v>6.25E-2</v>
      </c>
      <c r="R35" s="1">
        <v>0.33194444444444443</v>
      </c>
      <c r="S35" s="1">
        <v>6.25E-2</v>
      </c>
    </row>
    <row r="36" spans="1:19" x14ac:dyDescent="0.2">
      <c r="A36">
        <v>1</v>
      </c>
      <c r="B36">
        <v>35</v>
      </c>
      <c r="C36" t="s">
        <v>37</v>
      </c>
      <c r="D36">
        <v>3</v>
      </c>
      <c r="E36">
        <v>3</v>
      </c>
      <c r="F36" t="s">
        <v>41</v>
      </c>
      <c r="G36" t="s">
        <v>41</v>
      </c>
      <c r="H36" s="1">
        <v>0.24513888888888888</v>
      </c>
      <c r="I36" s="1">
        <v>0.10416666666666667</v>
      </c>
      <c r="J36" s="1">
        <v>0.25277777777777777</v>
      </c>
      <c r="K36" s="1">
        <v>0.1</v>
      </c>
      <c r="L36" s="1">
        <v>0.32777777777777778</v>
      </c>
      <c r="M36" s="1">
        <v>0.1</v>
      </c>
      <c r="N36" s="1">
        <v>0.24791666666666667</v>
      </c>
      <c r="O36" s="1">
        <v>6.1805555555555558E-2</v>
      </c>
      <c r="P36" s="1">
        <v>0.24652777777777779</v>
      </c>
      <c r="Q36" s="1">
        <v>6.0416666666666667E-2</v>
      </c>
      <c r="R36" s="1">
        <v>0.3298611111111111</v>
      </c>
      <c r="S36" s="1">
        <v>6.0416666666666667E-2</v>
      </c>
    </row>
    <row r="37" spans="1:19" x14ac:dyDescent="0.2">
      <c r="A37">
        <v>1</v>
      </c>
      <c r="B37">
        <v>36</v>
      </c>
      <c r="C37" t="s">
        <v>38</v>
      </c>
      <c r="D37">
        <v>2</v>
      </c>
      <c r="E37">
        <v>2</v>
      </c>
      <c r="F37" t="s">
        <v>41</v>
      </c>
      <c r="G37" t="s">
        <v>41</v>
      </c>
      <c r="H37" s="1">
        <v>0.24652777777777779</v>
      </c>
      <c r="I37" s="1">
        <v>0.10486111111111111</v>
      </c>
      <c r="J37" s="1">
        <v>0.25416666666666665</v>
      </c>
      <c r="K37" s="1">
        <v>0.10138888888888889</v>
      </c>
      <c r="L37" s="1">
        <v>0.32916666666666666</v>
      </c>
      <c r="M37" s="1">
        <v>0.10138888888888889</v>
      </c>
      <c r="N37" s="1">
        <v>0.24652777777777779</v>
      </c>
      <c r="O37" s="1">
        <v>6.0416666666666667E-2</v>
      </c>
      <c r="P37" s="1">
        <v>0.24583333333333332</v>
      </c>
      <c r="Q37" s="1">
        <v>5.9722222222222225E-2</v>
      </c>
      <c r="R37" s="1">
        <v>0.32916666666666666</v>
      </c>
      <c r="S37" s="1">
        <v>5.9722222222222225E-2</v>
      </c>
    </row>
    <row r="38" spans="1:19" x14ac:dyDescent="0.2">
      <c r="A38">
        <v>1</v>
      </c>
      <c r="B38">
        <v>37</v>
      </c>
      <c r="C38" t="s">
        <v>39</v>
      </c>
      <c r="D38">
        <v>1</v>
      </c>
      <c r="E38">
        <v>1</v>
      </c>
      <c r="F38" t="s">
        <v>41</v>
      </c>
      <c r="G38" t="s">
        <v>41</v>
      </c>
      <c r="H38" s="1">
        <v>0.24791666666666667</v>
      </c>
      <c r="I38" s="1">
        <v>0.10625</v>
      </c>
      <c r="J38" s="1">
        <v>0.25555555555555554</v>
      </c>
      <c r="K38" s="1">
        <v>0.10277777777777777</v>
      </c>
      <c r="L38" s="1">
        <v>0.33055555555555555</v>
      </c>
      <c r="M38" s="1">
        <v>0.10277777777777777</v>
      </c>
      <c r="N38" s="1">
        <v>0.24513888888888888</v>
      </c>
      <c r="O38" s="1">
        <v>5.9027777777777776E-2</v>
      </c>
      <c r="P38" s="1">
        <v>0.24444444444444444</v>
      </c>
      <c r="Q38" s="1">
        <v>5.8333333333333334E-2</v>
      </c>
      <c r="R38" s="1">
        <v>0.32777777777777778</v>
      </c>
      <c r="S38" s="1">
        <v>5.8333333333333334E-2</v>
      </c>
    </row>
    <row r="39" spans="1:19" x14ac:dyDescent="0.2">
      <c r="A39">
        <v>1</v>
      </c>
      <c r="B39">
        <v>38</v>
      </c>
      <c r="C39" t="s">
        <v>40</v>
      </c>
      <c r="D39">
        <v>0</v>
      </c>
      <c r="E39">
        <v>0</v>
      </c>
      <c r="F39" t="s">
        <v>14</v>
      </c>
      <c r="G39" t="s">
        <v>14</v>
      </c>
      <c r="H39" s="1">
        <v>0.24930555555555556</v>
      </c>
      <c r="I39" s="1">
        <v>0.1076388888888889</v>
      </c>
      <c r="J39" s="1">
        <v>0.25694444444444442</v>
      </c>
      <c r="K39" s="1">
        <v>0.10416666666666667</v>
      </c>
      <c r="L39" s="1">
        <v>0.33194444444444443</v>
      </c>
      <c r="M39" s="1">
        <v>0.10416666666666667</v>
      </c>
      <c r="N39" s="1">
        <v>0.24374999999999999</v>
      </c>
      <c r="O39" s="1">
        <v>5.7638888888888892E-2</v>
      </c>
      <c r="P39" s="1">
        <v>0.24305555555555555</v>
      </c>
      <c r="Q39" s="1">
        <v>5.6944444444444443E-2</v>
      </c>
      <c r="R39" s="1">
        <v>0.3263888888888889</v>
      </c>
      <c r="S39" s="1">
        <v>5.6944444444444443E-2</v>
      </c>
    </row>
    <row r="40" spans="1:19" x14ac:dyDescent="0.2">
      <c r="A40">
        <v>2</v>
      </c>
      <c r="B40">
        <v>1</v>
      </c>
      <c r="C40" t="s">
        <v>56</v>
      </c>
      <c r="D40">
        <v>0</v>
      </c>
      <c r="E40">
        <v>0</v>
      </c>
      <c r="F40" t="s">
        <v>14</v>
      </c>
      <c r="G40" t="s">
        <v>14</v>
      </c>
      <c r="H40" s="1">
        <v>0.2361111111111111</v>
      </c>
      <c r="I40" s="1">
        <v>6.3194444444444442E-2</v>
      </c>
      <c r="J40" s="1">
        <v>0.24166666666666667</v>
      </c>
      <c r="K40" s="1">
        <v>6.1805555555555558E-2</v>
      </c>
      <c r="L40" s="1">
        <v>0.33263888888888887</v>
      </c>
      <c r="M40" s="1">
        <v>6.1805555555555558E-2</v>
      </c>
      <c r="N40" s="1">
        <v>0.24722222222222223</v>
      </c>
      <c r="O40" s="1">
        <v>9.4444444444444442E-2</v>
      </c>
      <c r="P40" s="1">
        <v>0.25069444444444444</v>
      </c>
      <c r="Q40" s="1">
        <v>9.583333333333334E-2</v>
      </c>
      <c r="R40" s="1">
        <v>0.34375</v>
      </c>
      <c r="S40" s="1">
        <v>9.583333333333334E-2</v>
      </c>
    </row>
    <row r="41" spans="1:19" x14ac:dyDescent="0.2">
      <c r="A41">
        <v>2</v>
      </c>
      <c r="B41">
        <v>2</v>
      </c>
      <c r="C41" t="s">
        <v>57</v>
      </c>
      <c r="D41">
        <v>1</v>
      </c>
      <c r="E41">
        <v>1</v>
      </c>
      <c r="F41" t="s">
        <v>41</v>
      </c>
      <c r="G41" t="s">
        <v>41</v>
      </c>
      <c r="H41" s="1">
        <v>0.23749999999999999</v>
      </c>
      <c r="I41" s="1">
        <v>6.458333333333334E-2</v>
      </c>
      <c r="J41" s="1">
        <f>J40+H41-H40</f>
        <v>0.24305555555555552</v>
      </c>
      <c r="K41" s="1">
        <f t="shared" ref="K41:M57" si="0">K40+I41-I40</f>
        <v>6.3194444444444442E-2</v>
      </c>
      <c r="L41" s="1">
        <f t="shared" si="0"/>
        <v>0.3340277777777777</v>
      </c>
      <c r="M41" s="1">
        <f t="shared" si="0"/>
        <v>6.3194444444444442E-2</v>
      </c>
      <c r="N41" s="1">
        <v>0.24513888888888888</v>
      </c>
      <c r="O41" s="1">
        <v>9.2361111111111116E-2</v>
      </c>
      <c r="P41" s="1">
        <f t="shared" ref="P41:P51" si="1">P42+N41-N42</f>
        <v>0.25069444444444433</v>
      </c>
      <c r="Q41" s="1">
        <f t="shared" ref="Q41:Q51" si="2">Q42+O41-O42</f>
        <v>9.2361111111110908E-2</v>
      </c>
      <c r="R41" s="1">
        <f t="shared" ref="R41:R51" si="3">R42+P41-P42</f>
        <v>0.34166666666666656</v>
      </c>
      <c r="S41" s="1">
        <f t="shared" ref="S41:S51" si="4">S42+Q41-Q42</f>
        <v>9.2361111111111102E-2</v>
      </c>
    </row>
    <row r="42" spans="1:19" x14ac:dyDescent="0.2">
      <c r="A42">
        <v>2</v>
      </c>
      <c r="B42">
        <v>3</v>
      </c>
      <c r="C42" t="s">
        <v>58</v>
      </c>
      <c r="D42">
        <v>2</v>
      </c>
      <c r="E42">
        <v>2</v>
      </c>
      <c r="F42" t="s">
        <v>41</v>
      </c>
      <c r="G42" t="s">
        <v>41</v>
      </c>
      <c r="H42" s="1">
        <v>0.2388888888888889</v>
      </c>
      <c r="I42" s="1">
        <v>6.5277777777777782E-2</v>
      </c>
      <c r="J42" s="1">
        <f t="shared" ref="J42:J63" si="5">J41+H42-H41</f>
        <v>0.24444444444444441</v>
      </c>
      <c r="K42" s="1">
        <f t="shared" si="0"/>
        <v>6.388888888888887E-2</v>
      </c>
      <c r="L42" s="1">
        <f t="shared" si="0"/>
        <v>0.33541666666666653</v>
      </c>
      <c r="M42" s="1">
        <f t="shared" si="0"/>
        <v>6.3888888888888884E-2</v>
      </c>
      <c r="N42" s="1">
        <v>0.24374999999999999</v>
      </c>
      <c r="O42" s="1">
        <v>9.0972222222222218E-2</v>
      </c>
      <c r="P42" s="1">
        <f t="shared" si="1"/>
        <v>0.24930555555555547</v>
      </c>
      <c r="Q42" s="1">
        <f t="shared" si="2"/>
        <v>9.0972222222222024E-2</v>
      </c>
      <c r="R42" s="1">
        <f t="shared" si="3"/>
        <v>0.34027777777777768</v>
      </c>
      <c r="S42" s="1">
        <f t="shared" si="4"/>
        <v>9.0972222222222218E-2</v>
      </c>
    </row>
    <row r="43" spans="1:19" x14ac:dyDescent="0.2">
      <c r="A43">
        <v>2</v>
      </c>
      <c r="B43">
        <v>4</v>
      </c>
      <c r="C43" t="s">
        <v>59</v>
      </c>
      <c r="D43">
        <v>3</v>
      </c>
      <c r="E43">
        <v>3</v>
      </c>
      <c r="F43" t="s">
        <v>41</v>
      </c>
      <c r="G43" t="s">
        <v>41</v>
      </c>
      <c r="H43" s="1">
        <v>0.24027777777777778</v>
      </c>
      <c r="I43" s="1">
        <v>6.6666666666666666E-2</v>
      </c>
      <c r="J43" s="1">
        <f t="shared" si="5"/>
        <v>0.24583333333333326</v>
      </c>
      <c r="K43" s="1">
        <f t="shared" si="0"/>
        <v>6.5277777777777754E-2</v>
      </c>
      <c r="L43" s="1">
        <f t="shared" si="0"/>
        <v>0.33680555555555541</v>
      </c>
      <c r="M43" s="1">
        <f t="shared" si="0"/>
        <v>6.5277777777777782E-2</v>
      </c>
      <c r="N43" s="1">
        <v>0.24236111111111111</v>
      </c>
      <c r="O43" s="1">
        <v>8.9583333333333334E-2</v>
      </c>
      <c r="P43" s="1">
        <f t="shared" si="1"/>
        <v>0.24791666666666659</v>
      </c>
      <c r="Q43" s="1">
        <f t="shared" si="2"/>
        <v>8.958333333333314E-2</v>
      </c>
      <c r="R43" s="1">
        <f t="shared" si="3"/>
        <v>0.3388888888888888</v>
      </c>
      <c r="S43" s="1">
        <f t="shared" si="4"/>
        <v>8.958333333333332E-2</v>
      </c>
    </row>
    <row r="44" spans="1:19" x14ac:dyDescent="0.2">
      <c r="A44">
        <v>2</v>
      </c>
      <c r="B44">
        <v>5</v>
      </c>
      <c r="C44" t="s">
        <v>60</v>
      </c>
      <c r="D44">
        <v>4</v>
      </c>
      <c r="E44">
        <v>4</v>
      </c>
      <c r="F44" t="s">
        <v>41</v>
      </c>
      <c r="G44" t="s">
        <v>41</v>
      </c>
      <c r="H44" s="1">
        <v>0.24166666666666667</v>
      </c>
      <c r="I44" s="1">
        <v>6.805555555555555E-2</v>
      </c>
      <c r="J44" s="1">
        <f t="shared" si="5"/>
        <v>0.24722222222222215</v>
      </c>
      <c r="K44" s="1">
        <f t="shared" si="0"/>
        <v>6.6666666666666638E-2</v>
      </c>
      <c r="L44" s="1">
        <f t="shared" si="0"/>
        <v>0.33819444444444435</v>
      </c>
      <c r="M44" s="1">
        <f t="shared" si="0"/>
        <v>6.6666666666666666E-2</v>
      </c>
      <c r="N44" s="1">
        <v>0.24166666666666667</v>
      </c>
      <c r="O44" s="1">
        <v>8.8888888888888892E-2</v>
      </c>
      <c r="P44" s="1">
        <f t="shared" si="1"/>
        <v>0.24722222222222215</v>
      </c>
      <c r="Q44" s="1">
        <f t="shared" si="2"/>
        <v>8.8888888888888712E-2</v>
      </c>
      <c r="R44" s="1">
        <f t="shared" si="3"/>
        <v>0.33819444444444435</v>
      </c>
      <c r="S44" s="1">
        <f t="shared" si="4"/>
        <v>8.8888888888888878E-2</v>
      </c>
    </row>
    <row r="45" spans="1:19" x14ac:dyDescent="0.2">
      <c r="A45">
        <v>2</v>
      </c>
      <c r="B45">
        <v>6</v>
      </c>
      <c r="C45" t="s">
        <v>61</v>
      </c>
      <c r="D45">
        <v>5</v>
      </c>
      <c r="E45">
        <v>5</v>
      </c>
      <c r="F45" t="s">
        <v>41</v>
      </c>
      <c r="G45" t="s">
        <v>41</v>
      </c>
      <c r="H45" s="1">
        <v>0.24236111111111111</v>
      </c>
      <c r="I45" s="1">
        <v>6.8750000000000006E-2</v>
      </c>
      <c r="J45" s="1">
        <f t="shared" si="5"/>
        <v>0.24791666666666659</v>
      </c>
      <c r="K45" s="1">
        <f t="shared" si="0"/>
        <v>6.736111111111108E-2</v>
      </c>
      <c r="L45" s="1">
        <f t="shared" si="0"/>
        <v>0.3388888888888888</v>
      </c>
      <c r="M45" s="1">
        <f t="shared" si="0"/>
        <v>6.7361111111111108E-2</v>
      </c>
      <c r="N45" s="1">
        <v>0.24097222222222223</v>
      </c>
      <c r="O45" s="1">
        <v>8.7499999999999994E-2</v>
      </c>
      <c r="P45" s="1">
        <f t="shared" si="1"/>
        <v>0.24652777777777771</v>
      </c>
      <c r="Q45" s="1">
        <f t="shared" si="2"/>
        <v>8.7499999999999828E-2</v>
      </c>
      <c r="R45" s="1">
        <f t="shared" si="3"/>
        <v>0.33749999999999991</v>
      </c>
      <c r="S45" s="1">
        <f t="shared" si="4"/>
        <v>8.7499999999999994E-2</v>
      </c>
    </row>
    <row r="46" spans="1:19" x14ac:dyDescent="0.2">
      <c r="A46">
        <v>2</v>
      </c>
      <c r="B46">
        <v>7</v>
      </c>
      <c r="C46" t="s">
        <v>62</v>
      </c>
      <c r="D46">
        <v>6</v>
      </c>
      <c r="E46">
        <v>6</v>
      </c>
      <c r="F46" t="s">
        <v>41</v>
      </c>
      <c r="G46" t="s">
        <v>41</v>
      </c>
      <c r="H46" s="1">
        <v>0.24305555555555555</v>
      </c>
      <c r="I46" s="1">
        <v>6.9444444444444448E-2</v>
      </c>
      <c r="J46" s="1">
        <f t="shared" si="5"/>
        <v>0.24861111111111103</v>
      </c>
      <c r="K46" s="1">
        <f t="shared" si="0"/>
        <v>6.8055555555555508E-2</v>
      </c>
      <c r="L46" s="1">
        <f t="shared" si="0"/>
        <v>0.33958333333333324</v>
      </c>
      <c r="M46" s="1">
        <f t="shared" si="0"/>
        <v>6.805555555555555E-2</v>
      </c>
      <c r="N46" s="1">
        <v>0.24027777777777778</v>
      </c>
      <c r="O46" s="1">
        <v>8.6805555555555552E-2</v>
      </c>
      <c r="P46" s="1">
        <f t="shared" si="1"/>
        <v>0.24583333333333326</v>
      </c>
      <c r="Q46" s="1">
        <f t="shared" si="2"/>
        <v>8.6805555555555386E-2</v>
      </c>
      <c r="R46" s="1">
        <f t="shared" si="3"/>
        <v>0.33680555555555547</v>
      </c>
      <c r="S46" s="1">
        <f t="shared" si="4"/>
        <v>8.6805555555555552E-2</v>
      </c>
    </row>
    <row r="47" spans="1:19" x14ac:dyDescent="0.2">
      <c r="A47">
        <v>2</v>
      </c>
      <c r="B47">
        <v>8</v>
      </c>
      <c r="C47" t="s">
        <v>63</v>
      </c>
      <c r="D47">
        <v>7</v>
      </c>
      <c r="E47">
        <v>7</v>
      </c>
      <c r="F47" t="s">
        <v>41</v>
      </c>
      <c r="G47" t="s">
        <v>41</v>
      </c>
      <c r="H47" s="1">
        <v>0.24444444444444444</v>
      </c>
      <c r="I47" s="1">
        <v>7.0833333333333331E-2</v>
      </c>
      <c r="J47" s="1">
        <f t="shared" si="5"/>
        <v>0.24999999999999992</v>
      </c>
      <c r="K47" s="1">
        <f t="shared" si="0"/>
        <v>6.9444444444444392E-2</v>
      </c>
      <c r="L47" s="1">
        <f t="shared" si="0"/>
        <v>0.34097222222222212</v>
      </c>
      <c r="M47" s="1">
        <f t="shared" si="0"/>
        <v>6.9444444444444448E-2</v>
      </c>
      <c r="N47" s="1">
        <v>0.2388888888888889</v>
      </c>
      <c r="O47" s="1">
        <v>8.611111111111111E-2</v>
      </c>
      <c r="P47" s="1">
        <f t="shared" si="1"/>
        <v>0.24444444444444435</v>
      </c>
      <c r="Q47" s="1">
        <f t="shared" si="2"/>
        <v>8.6111111111110944E-2</v>
      </c>
      <c r="R47" s="1">
        <f t="shared" si="3"/>
        <v>0.33541666666666659</v>
      </c>
      <c r="S47" s="1">
        <f t="shared" si="4"/>
        <v>8.611111111111111E-2</v>
      </c>
    </row>
    <row r="48" spans="1:19" x14ac:dyDescent="0.2">
      <c r="A48">
        <v>2</v>
      </c>
      <c r="B48">
        <v>9</v>
      </c>
      <c r="C48" t="s">
        <v>64</v>
      </c>
      <c r="D48">
        <v>8</v>
      </c>
      <c r="E48">
        <v>6</v>
      </c>
      <c r="F48" t="s">
        <v>41</v>
      </c>
      <c r="G48" t="s">
        <v>41</v>
      </c>
      <c r="H48" s="1">
        <v>0.24513888888888888</v>
      </c>
      <c r="I48" s="1">
        <v>7.1527777777777773E-2</v>
      </c>
      <c r="J48" s="1">
        <f t="shared" si="5"/>
        <v>0.25069444444444433</v>
      </c>
      <c r="K48" s="1">
        <f t="shared" si="0"/>
        <v>7.0138888888888834E-2</v>
      </c>
      <c r="L48" s="1">
        <f t="shared" si="0"/>
        <v>0.34166666666666656</v>
      </c>
      <c r="M48" s="1">
        <f t="shared" si="0"/>
        <v>7.013888888888889E-2</v>
      </c>
      <c r="N48" s="1">
        <v>0.25</v>
      </c>
      <c r="O48" s="1">
        <v>8.4722222222222227E-2</v>
      </c>
      <c r="P48" s="1">
        <f t="shared" si="1"/>
        <v>0.25555555555555542</v>
      </c>
      <c r="Q48" s="1">
        <f t="shared" si="2"/>
        <v>8.472222222222206E-2</v>
      </c>
      <c r="R48" s="1">
        <f t="shared" si="3"/>
        <v>0.34652777777777766</v>
      </c>
      <c r="S48" s="1">
        <f t="shared" si="4"/>
        <v>8.4722222222222213E-2</v>
      </c>
    </row>
    <row r="49" spans="1:19" x14ac:dyDescent="0.2">
      <c r="A49">
        <v>2</v>
      </c>
      <c r="B49">
        <v>10</v>
      </c>
      <c r="C49" t="s">
        <v>65</v>
      </c>
      <c r="D49">
        <v>7</v>
      </c>
      <c r="E49">
        <v>5</v>
      </c>
      <c r="F49" t="s">
        <v>41</v>
      </c>
      <c r="G49" t="s">
        <v>41</v>
      </c>
      <c r="H49" s="1">
        <v>0.24652777777777779</v>
      </c>
      <c r="I49" s="1">
        <v>7.2222222222222215E-2</v>
      </c>
      <c r="J49" s="1">
        <f t="shared" si="5"/>
        <v>0.25208333333333321</v>
      </c>
      <c r="K49" s="1">
        <f t="shared" si="0"/>
        <v>7.0833333333333276E-2</v>
      </c>
      <c r="L49" s="1">
        <f t="shared" si="0"/>
        <v>0.34305555555555545</v>
      </c>
      <c r="M49" s="1">
        <f t="shared" si="0"/>
        <v>7.0833333333333331E-2</v>
      </c>
      <c r="N49" s="1">
        <v>0.25</v>
      </c>
      <c r="O49" s="1">
        <v>8.4722222222222227E-2</v>
      </c>
      <c r="P49" s="1">
        <f>P51+N49-N51</f>
        <v>0.25555555555555542</v>
      </c>
      <c r="Q49" s="1">
        <f>Q51+O49-O51</f>
        <v>8.4722222222222074E-2</v>
      </c>
      <c r="R49" s="1">
        <f>R51+P49-P51</f>
        <v>0.34652777777777766</v>
      </c>
      <c r="S49" s="1">
        <f>S51+Q49-Q51</f>
        <v>8.4722222222222213E-2</v>
      </c>
    </row>
    <row r="50" spans="1:19" x14ac:dyDescent="0.2">
      <c r="A50">
        <v>2</v>
      </c>
      <c r="B50">
        <v>11</v>
      </c>
      <c r="C50" t="s">
        <v>92</v>
      </c>
      <c r="E50">
        <v>4</v>
      </c>
      <c r="F50" t="s">
        <v>41</v>
      </c>
      <c r="G50" t="s">
        <v>41</v>
      </c>
      <c r="H50" s="1">
        <v>0.24722222222222223</v>
      </c>
      <c r="I50" s="1">
        <v>7.2916666666666671E-2</v>
      </c>
      <c r="J50" s="1">
        <v>0.25208333333333333</v>
      </c>
      <c r="K50" s="1">
        <v>7.2222222222222215E-2</v>
      </c>
      <c r="L50" s="1">
        <v>0.34444444444444444</v>
      </c>
      <c r="M50" s="1">
        <v>7.2222222222222215E-2</v>
      </c>
      <c r="N50" s="1">
        <v>0.24791666666666667</v>
      </c>
      <c r="O50" s="1">
        <v>8.2638888888888887E-2</v>
      </c>
      <c r="P50" s="1">
        <v>0.25486111111111109</v>
      </c>
      <c r="Q50" s="1">
        <v>8.4027777777777785E-2</v>
      </c>
      <c r="R50" s="1">
        <v>0.34513888888888888</v>
      </c>
      <c r="S50" s="1">
        <v>8.4027777777777785E-2</v>
      </c>
    </row>
    <row r="51" spans="1:19" x14ac:dyDescent="0.2">
      <c r="A51">
        <v>2</v>
      </c>
      <c r="B51">
        <v>12</v>
      </c>
      <c r="C51" t="s">
        <v>66</v>
      </c>
      <c r="D51">
        <v>6</v>
      </c>
      <c r="E51">
        <v>3</v>
      </c>
      <c r="F51" t="s">
        <v>41</v>
      </c>
      <c r="G51" t="s">
        <v>41</v>
      </c>
      <c r="H51" s="1">
        <v>0.24861111111111112</v>
      </c>
      <c r="I51" s="1">
        <v>7.4305555555555555E-2</v>
      </c>
      <c r="J51" s="1">
        <f>J49+H51-H49</f>
        <v>0.25416666666666654</v>
      </c>
      <c r="K51" s="1">
        <f>K49+I51-I49</f>
        <v>7.2916666666666602E-2</v>
      </c>
      <c r="L51" s="1">
        <f>L49+J51-J49</f>
        <v>0.34513888888888877</v>
      </c>
      <c r="M51" s="1">
        <f>M49+K51-K49</f>
        <v>7.2916666666666657E-2</v>
      </c>
      <c r="N51" s="1">
        <v>0.24722222222222223</v>
      </c>
      <c r="O51" s="1">
        <v>8.2638888888888887E-2</v>
      </c>
      <c r="P51" s="1">
        <f t="shared" si="1"/>
        <v>0.25277777777777766</v>
      </c>
      <c r="Q51" s="1">
        <f t="shared" si="2"/>
        <v>8.2638888888888748E-2</v>
      </c>
      <c r="R51" s="1">
        <f t="shared" si="3"/>
        <v>0.34374999999999989</v>
      </c>
      <c r="S51" s="1">
        <f t="shared" si="4"/>
        <v>8.2638888888888887E-2</v>
      </c>
    </row>
    <row r="52" spans="1:19" x14ac:dyDescent="0.2">
      <c r="A52">
        <v>2</v>
      </c>
      <c r="B52">
        <v>13</v>
      </c>
      <c r="C52" t="s">
        <v>67</v>
      </c>
      <c r="D52">
        <v>5</v>
      </c>
      <c r="E52">
        <v>2</v>
      </c>
      <c r="F52" t="s">
        <v>41</v>
      </c>
      <c r="G52" t="s">
        <v>41</v>
      </c>
      <c r="H52" s="1">
        <v>0.25</v>
      </c>
      <c r="I52" s="1">
        <v>7.4999999999999997E-2</v>
      </c>
      <c r="J52" s="1">
        <f t="shared" si="5"/>
        <v>0.25555555555555542</v>
      </c>
      <c r="K52" s="1">
        <f t="shared" si="0"/>
        <v>7.361111111111103E-2</v>
      </c>
      <c r="L52" s="1">
        <f t="shared" si="0"/>
        <v>0.34652777777777766</v>
      </c>
      <c r="M52" s="1">
        <f t="shared" si="0"/>
        <v>7.3611111111111099E-2</v>
      </c>
      <c r="N52" s="1">
        <v>0.24652777777777779</v>
      </c>
      <c r="O52" s="1">
        <v>8.1250000000000003E-2</v>
      </c>
      <c r="P52" s="1">
        <f t="shared" ref="P52:P68" si="6">P53+N52-N53</f>
        <v>0.25208333333333321</v>
      </c>
      <c r="Q52" s="1">
        <f t="shared" ref="Q52:Q68" si="7">Q53+O52-O53</f>
        <v>8.1249999999999864E-2</v>
      </c>
      <c r="R52" s="1">
        <f t="shared" ref="R52:R68" si="8">R53+P52-P53</f>
        <v>0.34305555555555545</v>
      </c>
      <c r="S52" s="1">
        <f t="shared" ref="S52:S68" si="9">S53+Q52-Q53</f>
        <v>8.1249999999999989E-2</v>
      </c>
    </row>
    <row r="53" spans="1:19" x14ac:dyDescent="0.2">
      <c r="A53">
        <v>2</v>
      </c>
      <c r="B53">
        <v>14</v>
      </c>
      <c r="C53" t="s">
        <v>68</v>
      </c>
      <c r="D53">
        <v>4</v>
      </c>
      <c r="E53">
        <v>1</v>
      </c>
      <c r="F53" t="s">
        <v>41</v>
      </c>
      <c r="G53" t="s">
        <v>41</v>
      </c>
      <c r="H53" s="1">
        <v>0.25069444444444444</v>
      </c>
      <c r="I53" s="1">
        <v>7.5694444444444439E-2</v>
      </c>
      <c r="J53" s="1">
        <f t="shared" si="5"/>
        <v>0.25624999999999987</v>
      </c>
      <c r="K53" s="1">
        <f t="shared" si="0"/>
        <v>7.4305555555555472E-2</v>
      </c>
      <c r="L53" s="1">
        <f t="shared" si="0"/>
        <v>0.3472222222222221</v>
      </c>
      <c r="M53" s="1">
        <f t="shared" si="0"/>
        <v>7.4305555555555555E-2</v>
      </c>
      <c r="N53" s="1">
        <v>0.24791666666666667</v>
      </c>
      <c r="O53" s="1">
        <v>8.0555555555555561E-2</v>
      </c>
      <c r="P53" s="1">
        <f t="shared" si="6"/>
        <v>0.2534722222222221</v>
      </c>
      <c r="Q53" s="1">
        <f t="shared" si="7"/>
        <v>8.0555555555555436E-2</v>
      </c>
      <c r="R53" s="1">
        <f t="shared" si="8"/>
        <v>0.34444444444444433</v>
      </c>
      <c r="S53" s="1">
        <f t="shared" si="9"/>
        <v>8.0555555555555547E-2</v>
      </c>
    </row>
    <row r="54" spans="1:19" x14ac:dyDescent="0.2">
      <c r="A54">
        <v>2</v>
      </c>
      <c r="B54">
        <v>15</v>
      </c>
      <c r="C54" t="s">
        <v>26</v>
      </c>
      <c r="D54">
        <v>3</v>
      </c>
      <c r="E54">
        <v>0</v>
      </c>
      <c r="F54" t="s">
        <v>41</v>
      </c>
      <c r="G54" t="s">
        <v>14</v>
      </c>
      <c r="H54" s="1">
        <v>0.25208333333333333</v>
      </c>
      <c r="I54" s="1">
        <v>7.6388888888888895E-2</v>
      </c>
      <c r="J54" s="1">
        <f t="shared" si="5"/>
        <v>0.25763888888888875</v>
      </c>
      <c r="K54" s="1">
        <f t="shared" si="0"/>
        <v>7.4999999999999914E-2</v>
      </c>
      <c r="L54" s="1">
        <f t="shared" si="0"/>
        <v>0.34861111111111098</v>
      </c>
      <c r="M54" s="1">
        <f t="shared" si="0"/>
        <v>7.4999999999999997E-2</v>
      </c>
      <c r="N54" s="1">
        <v>0.24722222222222223</v>
      </c>
      <c r="O54" s="1">
        <v>7.9861111111111105E-2</v>
      </c>
      <c r="P54" s="1">
        <f t="shared" si="6"/>
        <v>0.25277777777777766</v>
      </c>
      <c r="Q54" s="1">
        <f t="shared" si="7"/>
        <v>7.9861111111110994E-2</v>
      </c>
      <c r="R54" s="1">
        <f t="shared" si="8"/>
        <v>0.34374999999999989</v>
      </c>
      <c r="S54" s="1">
        <f t="shared" si="9"/>
        <v>7.9861111111111105E-2</v>
      </c>
    </row>
    <row r="55" spans="1:19" x14ac:dyDescent="0.2">
      <c r="A55">
        <v>2</v>
      </c>
      <c r="B55">
        <v>16</v>
      </c>
      <c r="C55" t="s">
        <v>25</v>
      </c>
      <c r="D55">
        <v>2</v>
      </c>
      <c r="E55">
        <v>0</v>
      </c>
      <c r="F55" t="s">
        <v>41</v>
      </c>
      <c r="G55" t="s">
        <v>14</v>
      </c>
      <c r="H55" s="1">
        <v>0.25277777777777777</v>
      </c>
      <c r="I55" s="1">
        <v>7.7083333333333337E-2</v>
      </c>
      <c r="J55" s="1">
        <f t="shared" si="5"/>
        <v>0.25833333333333319</v>
      </c>
      <c r="K55" s="1">
        <f t="shared" si="0"/>
        <v>7.5694444444444342E-2</v>
      </c>
      <c r="L55" s="1">
        <f t="shared" si="0"/>
        <v>0.34930555555555542</v>
      </c>
      <c r="M55" s="1">
        <f t="shared" si="0"/>
        <v>7.5694444444444439E-2</v>
      </c>
      <c r="N55" s="1">
        <v>0.24652777777777779</v>
      </c>
      <c r="O55" s="1">
        <v>7.9166666666666663E-2</v>
      </c>
      <c r="P55" s="1">
        <f t="shared" si="6"/>
        <v>0.25208333333333321</v>
      </c>
      <c r="Q55" s="1">
        <f t="shared" si="7"/>
        <v>7.9166666666666552E-2</v>
      </c>
      <c r="R55" s="1">
        <f t="shared" si="8"/>
        <v>0.34305555555555545</v>
      </c>
      <c r="S55" s="1">
        <f t="shared" si="9"/>
        <v>7.9166666666666663E-2</v>
      </c>
    </row>
    <row r="56" spans="1:19" x14ac:dyDescent="0.2">
      <c r="A56">
        <v>2</v>
      </c>
      <c r="B56">
        <v>17</v>
      </c>
      <c r="C56" t="s">
        <v>69</v>
      </c>
      <c r="D56">
        <v>1</v>
      </c>
      <c r="E56">
        <v>1</v>
      </c>
      <c r="F56" t="s">
        <v>41</v>
      </c>
      <c r="G56" t="s">
        <v>41</v>
      </c>
      <c r="H56" s="1">
        <v>0.25416666666666665</v>
      </c>
      <c r="I56" s="1">
        <v>7.8472222222222221E-2</v>
      </c>
      <c r="J56" s="1">
        <f t="shared" si="5"/>
        <v>0.25972222222222208</v>
      </c>
      <c r="K56" s="1">
        <f t="shared" si="0"/>
        <v>7.7083333333333226E-2</v>
      </c>
      <c r="L56" s="1">
        <f t="shared" si="0"/>
        <v>0.35069444444444431</v>
      </c>
      <c r="M56" s="1">
        <f t="shared" si="0"/>
        <v>7.7083333333333337E-2</v>
      </c>
      <c r="N56" s="1">
        <v>0.24513888888888888</v>
      </c>
      <c r="O56" s="1">
        <v>7.7777777777777779E-2</v>
      </c>
      <c r="P56" s="1">
        <f t="shared" si="6"/>
        <v>0.25069444444444433</v>
      </c>
      <c r="Q56" s="1">
        <f t="shared" si="7"/>
        <v>7.7777777777777668E-2</v>
      </c>
      <c r="R56" s="1">
        <f t="shared" si="8"/>
        <v>0.34166666666666656</v>
      </c>
      <c r="S56" s="1">
        <f t="shared" si="9"/>
        <v>7.7777777777777765E-2</v>
      </c>
    </row>
    <row r="57" spans="1:19" x14ac:dyDescent="0.2">
      <c r="A57">
        <v>2</v>
      </c>
      <c r="B57">
        <v>18</v>
      </c>
      <c r="C57" t="s">
        <v>70</v>
      </c>
      <c r="D57">
        <v>0</v>
      </c>
      <c r="E57">
        <v>0</v>
      </c>
      <c r="F57" t="s">
        <v>14</v>
      </c>
      <c r="G57" t="s">
        <v>14</v>
      </c>
      <c r="H57" s="1">
        <v>0.25555555555555554</v>
      </c>
      <c r="I57" s="1">
        <v>7.9166666666666663E-2</v>
      </c>
      <c r="J57" s="1">
        <f t="shared" si="5"/>
        <v>0.26111111111111096</v>
      </c>
      <c r="K57" s="1">
        <f t="shared" si="0"/>
        <v>7.7777777777777668E-2</v>
      </c>
      <c r="L57" s="1">
        <f t="shared" si="0"/>
        <v>0.35208333333333319</v>
      </c>
      <c r="M57" s="1">
        <f t="shared" si="0"/>
        <v>7.7777777777777779E-2</v>
      </c>
      <c r="N57" s="1">
        <v>0.24444444444444444</v>
      </c>
      <c r="O57" s="1">
        <v>7.7083333333333337E-2</v>
      </c>
      <c r="P57" s="1">
        <f t="shared" si="6"/>
        <v>0.24999999999999989</v>
      </c>
      <c r="Q57" s="1">
        <f t="shared" si="7"/>
        <v>7.708333333333324E-2</v>
      </c>
      <c r="R57" s="1">
        <f t="shared" si="8"/>
        <v>0.34097222222222212</v>
      </c>
      <c r="S57" s="1">
        <f t="shared" si="9"/>
        <v>7.7083333333333323E-2</v>
      </c>
    </row>
    <row r="58" spans="1:19" x14ac:dyDescent="0.2">
      <c r="A58">
        <v>2</v>
      </c>
      <c r="B58">
        <v>19</v>
      </c>
      <c r="C58" t="s">
        <v>71</v>
      </c>
      <c r="D58">
        <v>1</v>
      </c>
      <c r="E58">
        <v>1</v>
      </c>
      <c r="F58" t="s">
        <v>41</v>
      </c>
      <c r="G58" t="s">
        <v>41</v>
      </c>
      <c r="H58" s="1">
        <v>0.25624999999999998</v>
      </c>
      <c r="I58" s="1">
        <v>7.9861111111111105E-2</v>
      </c>
      <c r="J58" s="1">
        <f t="shared" si="5"/>
        <v>0.2618055555555554</v>
      </c>
      <c r="K58" s="1">
        <f t="shared" ref="K58:K63" si="10">K57+I58-I57</f>
        <v>7.847222222222211E-2</v>
      </c>
      <c r="L58" s="1">
        <f t="shared" ref="L58:L63" si="11">L57+J58-J57</f>
        <v>0.35277777777777763</v>
      </c>
      <c r="M58" s="1">
        <f t="shared" ref="M58:M63" si="12">M57+K58-K57</f>
        <v>7.8472222222222221E-2</v>
      </c>
      <c r="N58" s="1">
        <v>0.24652777777777779</v>
      </c>
      <c r="O58" s="1">
        <v>7.5694444444444439E-2</v>
      </c>
      <c r="P58" s="1">
        <f t="shared" si="6"/>
        <v>0.25208333333333321</v>
      </c>
      <c r="Q58" s="1">
        <f t="shared" si="7"/>
        <v>7.5694444444444356E-2</v>
      </c>
      <c r="R58" s="1">
        <f t="shared" si="8"/>
        <v>0.34305555555555545</v>
      </c>
      <c r="S58" s="1">
        <f t="shared" si="9"/>
        <v>7.5694444444444439E-2</v>
      </c>
    </row>
    <row r="59" spans="1:19" x14ac:dyDescent="0.2">
      <c r="A59">
        <v>2</v>
      </c>
      <c r="B59">
        <v>20</v>
      </c>
      <c r="C59" t="s">
        <v>72</v>
      </c>
      <c r="D59">
        <v>2</v>
      </c>
      <c r="E59">
        <v>2</v>
      </c>
      <c r="F59" t="s">
        <v>41</v>
      </c>
      <c r="G59" t="s">
        <v>41</v>
      </c>
      <c r="H59" s="1">
        <v>0.25763888888888886</v>
      </c>
      <c r="I59" s="1">
        <v>8.1250000000000003E-2</v>
      </c>
      <c r="J59" s="1">
        <f t="shared" si="5"/>
        <v>0.26319444444444429</v>
      </c>
      <c r="K59" s="1">
        <f t="shared" si="10"/>
        <v>7.9861111111110994E-2</v>
      </c>
      <c r="L59" s="1">
        <f t="shared" si="11"/>
        <v>0.35416666666666652</v>
      </c>
      <c r="M59" s="1">
        <f t="shared" si="12"/>
        <v>7.9861111111111105E-2</v>
      </c>
      <c r="N59" s="1">
        <v>0.24583333333333332</v>
      </c>
      <c r="O59" s="1">
        <v>7.4999999999999997E-2</v>
      </c>
      <c r="P59" s="1">
        <f t="shared" si="6"/>
        <v>0.25138888888888877</v>
      </c>
      <c r="Q59" s="1">
        <f t="shared" si="7"/>
        <v>7.4999999999999914E-2</v>
      </c>
      <c r="R59" s="1">
        <f t="shared" si="8"/>
        <v>0.34236111111111101</v>
      </c>
      <c r="S59" s="1">
        <f t="shared" si="9"/>
        <v>7.4999999999999997E-2</v>
      </c>
    </row>
    <row r="60" spans="1:19" x14ac:dyDescent="0.2">
      <c r="A60">
        <v>2</v>
      </c>
      <c r="B60">
        <v>21</v>
      </c>
      <c r="C60" t="s">
        <v>73</v>
      </c>
      <c r="D60">
        <v>3</v>
      </c>
      <c r="E60">
        <v>3</v>
      </c>
      <c r="F60" t="s">
        <v>41</v>
      </c>
      <c r="G60" t="s">
        <v>41</v>
      </c>
      <c r="H60" s="1">
        <v>0.2590277777777778</v>
      </c>
      <c r="I60" s="1">
        <v>8.2638888888888887E-2</v>
      </c>
      <c r="J60" s="1">
        <f t="shared" si="5"/>
        <v>0.26458333333333328</v>
      </c>
      <c r="K60" s="1">
        <f t="shared" si="10"/>
        <v>8.1249999999999864E-2</v>
      </c>
      <c r="L60" s="1">
        <f t="shared" si="11"/>
        <v>0.35555555555555551</v>
      </c>
      <c r="M60" s="1">
        <f t="shared" si="12"/>
        <v>8.1249999999999989E-2</v>
      </c>
      <c r="N60" s="1">
        <v>0.24513888888888888</v>
      </c>
      <c r="O60" s="1">
        <v>7.4305555555555555E-2</v>
      </c>
      <c r="P60" s="1">
        <f t="shared" si="6"/>
        <v>0.25069444444444433</v>
      </c>
      <c r="Q60" s="1">
        <f t="shared" si="7"/>
        <v>7.4305555555555472E-2</v>
      </c>
      <c r="R60" s="1">
        <f t="shared" si="8"/>
        <v>0.34166666666666656</v>
      </c>
      <c r="S60" s="1">
        <f t="shared" si="9"/>
        <v>7.4305555555555541E-2</v>
      </c>
    </row>
    <row r="61" spans="1:19" x14ac:dyDescent="0.2">
      <c r="A61">
        <v>2</v>
      </c>
      <c r="B61">
        <v>22</v>
      </c>
      <c r="C61" t="s">
        <v>74</v>
      </c>
      <c r="D61">
        <v>3</v>
      </c>
      <c r="E61">
        <v>4</v>
      </c>
      <c r="F61" t="s">
        <v>41</v>
      </c>
      <c r="G61" t="s">
        <v>41</v>
      </c>
      <c r="H61" s="1">
        <v>0.26041666666666669</v>
      </c>
      <c r="I61" s="1">
        <v>8.4027777777777785E-2</v>
      </c>
      <c r="J61" s="1">
        <f t="shared" si="5"/>
        <v>0.26597222222222211</v>
      </c>
      <c r="K61" s="1">
        <f t="shared" si="10"/>
        <v>8.2638888888888748E-2</v>
      </c>
      <c r="L61" s="1">
        <f t="shared" si="11"/>
        <v>0.3569444444444444</v>
      </c>
      <c r="M61" s="1">
        <f t="shared" si="12"/>
        <v>8.2638888888888887E-2</v>
      </c>
      <c r="N61" s="1">
        <v>0.24444444444444444</v>
      </c>
      <c r="O61" s="1">
        <v>7.3611111111111113E-2</v>
      </c>
      <c r="P61" s="1">
        <f t="shared" si="6"/>
        <v>0.24999999999999992</v>
      </c>
      <c r="Q61" s="1">
        <f t="shared" si="7"/>
        <v>7.3611111111111044E-2</v>
      </c>
      <c r="R61" s="1">
        <f t="shared" si="8"/>
        <v>0.34097222222222212</v>
      </c>
      <c r="S61" s="1">
        <f t="shared" si="9"/>
        <v>7.3611111111111099E-2</v>
      </c>
    </row>
    <row r="62" spans="1:19" x14ac:dyDescent="0.2">
      <c r="A62">
        <v>2</v>
      </c>
      <c r="B62">
        <v>23</v>
      </c>
      <c r="C62" t="s">
        <v>75</v>
      </c>
      <c r="D62">
        <v>2</v>
      </c>
      <c r="E62">
        <v>5</v>
      </c>
      <c r="F62" t="s">
        <v>41</v>
      </c>
      <c r="G62" t="s">
        <v>41</v>
      </c>
      <c r="H62" s="1">
        <v>0.26041666666666669</v>
      </c>
      <c r="I62" s="1">
        <v>8.4027777777777785E-2</v>
      </c>
      <c r="J62" s="1">
        <f t="shared" si="5"/>
        <v>0.26597222222222211</v>
      </c>
      <c r="K62" s="1">
        <f t="shared" si="10"/>
        <v>8.2638888888888734E-2</v>
      </c>
      <c r="L62" s="1">
        <f t="shared" si="11"/>
        <v>0.35694444444444445</v>
      </c>
      <c r="M62" s="1">
        <f t="shared" si="12"/>
        <v>8.2638888888888887E-2</v>
      </c>
      <c r="N62" s="1">
        <v>0.24374999999999999</v>
      </c>
      <c r="O62" s="1">
        <v>7.2222222222222215E-2</v>
      </c>
      <c r="P62" s="1">
        <f t="shared" si="6"/>
        <v>0.24930555555555547</v>
      </c>
      <c r="Q62" s="1">
        <f t="shared" si="7"/>
        <v>7.222222222222216E-2</v>
      </c>
      <c r="R62" s="1">
        <f t="shared" si="8"/>
        <v>0.34027777777777768</v>
      </c>
      <c r="S62" s="1">
        <f t="shared" si="9"/>
        <v>7.2222222222222215E-2</v>
      </c>
    </row>
    <row r="63" spans="1:19" x14ac:dyDescent="0.2">
      <c r="A63">
        <v>2</v>
      </c>
      <c r="B63">
        <v>24</v>
      </c>
      <c r="C63" t="s">
        <v>76</v>
      </c>
      <c r="D63">
        <v>1</v>
      </c>
      <c r="E63">
        <v>6</v>
      </c>
      <c r="F63" t="s">
        <v>41</v>
      </c>
      <c r="G63" t="s">
        <v>41</v>
      </c>
      <c r="H63" s="1">
        <v>0.26111111111111113</v>
      </c>
      <c r="I63" s="1">
        <v>8.4722222222222227E-2</v>
      </c>
      <c r="J63" s="1">
        <f t="shared" si="5"/>
        <v>0.26666666666666655</v>
      </c>
      <c r="K63" s="1">
        <f t="shared" si="10"/>
        <v>8.3333333333333176E-2</v>
      </c>
      <c r="L63" s="1">
        <f t="shared" si="11"/>
        <v>0.3576388888888889</v>
      </c>
      <c r="M63" s="1">
        <f t="shared" si="12"/>
        <v>8.3333333333333343E-2</v>
      </c>
      <c r="N63" s="1">
        <v>0.24236111111111111</v>
      </c>
      <c r="O63" s="1">
        <v>7.1527777777777773E-2</v>
      </c>
      <c r="P63" s="1">
        <f t="shared" si="6"/>
        <v>0.24791666666666659</v>
      </c>
      <c r="Q63" s="1">
        <f t="shared" si="7"/>
        <v>7.1527777777777718E-2</v>
      </c>
      <c r="R63" s="1">
        <f t="shared" si="8"/>
        <v>0.3388888888888888</v>
      </c>
      <c r="S63" s="1">
        <f t="shared" si="9"/>
        <v>7.1527777777777773E-2</v>
      </c>
    </row>
    <row r="64" spans="1:19" x14ac:dyDescent="0.2">
      <c r="A64">
        <v>2</v>
      </c>
      <c r="B64">
        <v>25</v>
      </c>
      <c r="C64" t="s">
        <v>77</v>
      </c>
      <c r="D64">
        <v>0</v>
      </c>
      <c r="E64">
        <v>6</v>
      </c>
      <c r="F64" t="s">
        <v>14</v>
      </c>
      <c r="G64" t="s">
        <v>41</v>
      </c>
      <c r="H64" s="1">
        <v>0.23819444444444443</v>
      </c>
      <c r="I64" s="1">
        <v>8.5416666666666669E-2</v>
      </c>
      <c r="J64" s="1">
        <v>0.24027777777777778</v>
      </c>
      <c r="K64" s="1">
        <v>8.5416666666666669E-2</v>
      </c>
      <c r="L64" s="1">
        <v>0.33750000000000002</v>
      </c>
      <c r="M64" s="1">
        <v>8.5416666666666669E-2</v>
      </c>
      <c r="N64" s="1">
        <v>0.24444444444444444</v>
      </c>
      <c r="O64" s="1">
        <v>7.0833333333333331E-2</v>
      </c>
      <c r="P64" s="1">
        <f t="shared" si="6"/>
        <v>0.24999999999999992</v>
      </c>
      <c r="Q64" s="1">
        <f t="shared" si="7"/>
        <v>7.0833333333333276E-2</v>
      </c>
      <c r="R64" s="1">
        <f t="shared" si="8"/>
        <v>0.34097222222222212</v>
      </c>
      <c r="S64" s="1">
        <f t="shared" si="9"/>
        <v>7.0833333333333331E-2</v>
      </c>
    </row>
    <row r="65" spans="1:19" x14ac:dyDescent="0.2">
      <c r="A65">
        <v>2</v>
      </c>
      <c r="B65">
        <v>26</v>
      </c>
      <c r="C65" t="s">
        <v>78</v>
      </c>
      <c r="D65">
        <v>1</v>
      </c>
      <c r="E65">
        <v>5</v>
      </c>
      <c r="F65" t="s">
        <v>41</v>
      </c>
      <c r="G65" t="s">
        <v>41</v>
      </c>
      <c r="H65" s="1">
        <v>0.2388888888888889</v>
      </c>
      <c r="I65" s="1">
        <v>8.611111111111111E-2</v>
      </c>
      <c r="J65" s="1">
        <f>J64+H65-H64</f>
        <v>0.24097222222222225</v>
      </c>
      <c r="K65" s="1">
        <f t="shared" ref="K65:L65" si="13">K64+I65-I64</f>
        <v>8.611111111111111E-2</v>
      </c>
      <c r="L65" s="1">
        <f t="shared" si="13"/>
        <v>0.33819444444444446</v>
      </c>
      <c r="M65" s="1">
        <f>M64+K65-K64</f>
        <v>8.611111111111111E-2</v>
      </c>
      <c r="N65" s="1">
        <v>0.24374999999999999</v>
      </c>
      <c r="O65" s="1">
        <v>7.013888888888889E-2</v>
      </c>
      <c r="P65" s="1">
        <f t="shared" si="6"/>
        <v>0.24930555555555547</v>
      </c>
      <c r="Q65" s="1">
        <f t="shared" si="7"/>
        <v>7.0138888888888834E-2</v>
      </c>
      <c r="R65" s="1">
        <f t="shared" si="8"/>
        <v>0.34027777777777768</v>
      </c>
      <c r="S65" s="1">
        <f t="shared" si="9"/>
        <v>7.013888888888889E-2</v>
      </c>
    </row>
    <row r="66" spans="1:19" x14ac:dyDescent="0.2">
      <c r="A66">
        <v>2</v>
      </c>
      <c r="B66">
        <v>27</v>
      </c>
      <c r="C66" t="s">
        <v>79</v>
      </c>
      <c r="D66">
        <v>2</v>
      </c>
      <c r="E66">
        <v>4</v>
      </c>
      <c r="F66" t="s">
        <v>41</v>
      </c>
      <c r="G66" t="s">
        <v>41</v>
      </c>
      <c r="H66" s="1">
        <v>0.24027777777777778</v>
      </c>
      <c r="I66" s="1">
        <v>8.7499999999999994E-2</v>
      </c>
      <c r="J66" s="1">
        <f>J65+H66-H65</f>
        <v>0.24236111111111117</v>
      </c>
      <c r="K66" s="1">
        <f t="shared" ref="K66:K69" si="14">K65+I66-I65</f>
        <v>8.7499999999999994E-2</v>
      </c>
      <c r="L66" s="1">
        <f t="shared" ref="L66:L69" si="15">L65+J66-J65</f>
        <v>0.33958333333333335</v>
      </c>
      <c r="M66" s="1">
        <f t="shared" ref="M66:M69" si="16">M65+K66-K65</f>
        <v>8.7499999999999994E-2</v>
      </c>
      <c r="N66" s="1">
        <v>0.24305555555555555</v>
      </c>
      <c r="O66" s="1">
        <v>6.9444444444444448E-2</v>
      </c>
      <c r="P66" s="1">
        <f t="shared" si="6"/>
        <v>0.24861111111111103</v>
      </c>
      <c r="Q66" s="1">
        <f t="shared" si="7"/>
        <v>6.9444444444444392E-2</v>
      </c>
      <c r="R66" s="1">
        <f t="shared" si="8"/>
        <v>0.33958333333333324</v>
      </c>
      <c r="S66" s="1">
        <f t="shared" si="9"/>
        <v>6.9444444444444434E-2</v>
      </c>
    </row>
    <row r="67" spans="1:19" x14ac:dyDescent="0.2">
      <c r="A67">
        <v>2</v>
      </c>
      <c r="B67">
        <v>28</v>
      </c>
      <c r="C67" t="s">
        <v>80</v>
      </c>
      <c r="D67">
        <v>3</v>
      </c>
      <c r="E67">
        <v>3</v>
      </c>
      <c r="F67" t="s">
        <v>41</v>
      </c>
      <c r="G67" t="s">
        <v>41</v>
      </c>
      <c r="H67" s="1">
        <v>0.24166666666666667</v>
      </c>
      <c r="I67" s="1">
        <v>8.819444444444445E-2</v>
      </c>
      <c r="J67" s="1">
        <f>J66+H67-H66</f>
        <v>0.24375000000000005</v>
      </c>
      <c r="K67" s="1">
        <f t="shared" si="14"/>
        <v>8.8194444444444436E-2</v>
      </c>
      <c r="L67" s="1">
        <f t="shared" si="15"/>
        <v>0.34097222222222223</v>
      </c>
      <c r="M67" s="1">
        <f t="shared" si="16"/>
        <v>8.8194444444444436E-2</v>
      </c>
      <c r="N67" s="1">
        <v>0.24166666666666667</v>
      </c>
      <c r="O67" s="1">
        <v>6.8750000000000006E-2</v>
      </c>
      <c r="P67" s="1">
        <f t="shared" si="6"/>
        <v>0.24722222222222215</v>
      </c>
      <c r="Q67" s="1">
        <f t="shared" si="7"/>
        <v>6.8749999999999964E-2</v>
      </c>
      <c r="R67" s="1">
        <f t="shared" si="8"/>
        <v>0.3381944444444443</v>
      </c>
      <c r="S67" s="1">
        <f t="shared" si="9"/>
        <v>6.8749999999999992E-2</v>
      </c>
    </row>
    <row r="68" spans="1:19" x14ac:dyDescent="0.2">
      <c r="A68">
        <v>2</v>
      </c>
      <c r="B68">
        <v>29</v>
      </c>
      <c r="C68" t="s">
        <v>81</v>
      </c>
      <c r="D68">
        <v>2</v>
      </c>
      <c r="E68">
        <v>2</v>
      </c>
      <c r="F68" t="s">
        <v>41</v>
      </c>
      <c r="G68" t="s">
        <v>41</v>
      </c>
      <c r="H68" s="1">
        <v>0.24305555555555555</v>
      </c>
      <c r="I68" s="1">
        <v>8.9583333333333334E-2</v>
      </c>
      <c r="J68" s="1">
        <f>J67+H68-H67</f>
        <v>0.24513888888888893</v>
      </c>
      <c r="K68" s="1">
        <f t="shared" si="14"/>
        <v>8.9583333333333307E-2</v>
      </c>
      <c r="L68" s="1">
        <f t="shared" si="15"/>
        <v>0.34236111111111112</v>
      </c>
      <c r="M68" s="1">
        <f t="shared" si="16"/>
        <v>8.958333333333332E-2</v>
      </c>
      <c r="N68" s="1">
        <v>0.24097222222222223</v>
      </c>
      <c r="O68" s="1">
        <v>6.7361111111111108E-2</v>
      </c>
      <c r="P68" s="1">
        <f t="shared" si="6"/>
        <v>0.24652777777777773</v>
      </c>
      <c r="Q68" s="1">
        <f t="shared" si="7"/>
        <v>6.736111111111108E-2</v>
      </c>
      <c r="R68" s="1">
        <f t="shared" si="8"/>
        <v>0.33749999999999986</v>
      </c>
      <c r="S68" s="1">
        <f t="shared" si="9"/>
        <v>6.7361111111111094E-2</v>
      </c>
    </row>
    <row r="69" spans="1:19" x14ac:dyDescent="0.2">
      <c r="A69">
        <v>2</v>
      </c>
      <c r="B69">
        <v>30</v>
      </c>
      <c r="C69" t="s">
        <v>82</v>
      </c>
      <c r="D69">
        <v>1</v>
      </c>
      <c r="E69">
        <v>1</v>
      </c>
      <c r="F69" t="s">
        <v>41</v>
      </c>
      <c r="G69" t="s">
        <v>41</v>
      </c>
      <c r="H69" s="1">
        <v>0.24513888888888888</v>
      </c>
      <c r="I69" s="1">
        <v>9.166666666666666E-2</v>
      </c>
      <c r="J69" s="1">
        <f>J68+H69-H68</f>
        <v>0.24722222222222226</v>
      </c>
      <c r="K69" s="1">
        <f t="shared" si="14"/>
        <v>9.1666666666666632E-2</v>
      </c>
      <c r="L69" s="1">
        <f t="shared" si="15"/>
        <v>0.34444444444444444</v>
      </c>
      <c r="M69" s="1">
        <f t="shared" si="16"/>
        <v>9.166666666666666E-2</v>
      </c>
      <c r="N69" s="1">
        <v>0.23819444444444443</v>
      </c>
      <c r="O69" s="1">
        <v>6.5277777777777782E-2</v>
      </c>
      <c r="P69" s="1">
        <f>P70+N69-N70</f>
        <v>0.24374999999999997</v>
      </c>
      <c r="Q69" s="1">
        <f t="shared" ref="Q69:S69" si="17">Q70+O69-O70</f>
        <v>6.5277777777777768E-2</v>
      </c>
      <c r="R69" s="1">
        <f t="shared" si="17"/>
        <v>0.33472222222222214</v>
      </c>
      <c r="S69" s="1">
        <f t="shared" si="17"/>
        <v>6.5277777777777768E-2</v>
      </c>
    </row>
    <row r="70" spans="1:19" x14ac:dyDescent="0.2">
      <c r="A70">
        <v>2</v>
      </c>
      <c r="B70">
        <v>31</v>
      </c>
      <c r="C70" t="s">
        <v>83</v>
      </c>
      <c r="D70">
        <v>0</v>
      </c>
      <c r="E70">
        <v>0</v>
      </c>
      <c r="F70" t="s">
        <v>14</v>
      </c>
      <c r="G70" t="s">
        <v>14</v>
      </c>
      <c r="H70" s="1">
        <v>0.24791666666666667</v>
      </c>
      <c r="I70" s="1">
        <v>9.4444444444444442E-2</v>
      </c>
      <c r="J70" s="1">
        <v>0.25</v>
      </c>
      <c r="K70" s="1">
        <v>9.4444444444444442E-2</v>
      </c>
      <c r="L70" s="1">
        <v>0.34722222222222221</v>
      </c>
      <c r="M70" s="1">
        <v>9.4444444444444442E-2</v>
      </c>
      <c r="N70" s="1">
        <v>0.2361111111111111</v>
      </c>
      <c r="O70" s="1">
        <v>6.3194444444444442E-2</v>
      </c>
      <c r="P70" s="1">
        <v>0.24166666666666667</v>
      </c>
      <c r="Q70" s="1">
        <v>6.3194444444444442E-2</v>
      </c>
      <c r="R70" s="1">
        <v>0.33263888888888887</v>
      </c>
      <c r="S70" s="1">
        <v>6.3194444444444442E-2</v>
      </c>
    </row>
    <row r="71" spans="1:19" x14ac:dyDescent="0.2">
      <c r="A71">
        <v>4</v>
      </c>
      <c r="B71">
        <v>1</v>
      </c>
      <c r="C71" t="s">
        <v>84</v>
      </c>
      <c r="D71">
        <v>0</v>
      </c>
      <c r="E71">
        <v>0</v>
      </c>
      <c r="F71" t="s">
        <v>14</v>
      </c>
      <c r="G71" t="s">
        <v>14</v>
      </c>
      <c r="H71" s="1">
        <v>0.23680555555555555</v>
      </c>
      <c r="I71" s="1">
        <v>9.2361111111111116E-2</v>
      </c>
      <c r="J71" s="1">
        <v>0.24791666666666667</v>
      </c>
      <c r="K71" s="1">
        <v>9.2361111111111116E-2</v>
      </c>
      <c r="L71" s="1">
        <v>0.32847222222222222</v>
      </c>
      <c r="M71" s="1">
        <v>9.2361111111111116E-2</v>
      </c>
      <c r="N71" s="1">
        <v>0.23541666666666666</v>
      </c>
      <c r="O71" s="1">
        <v>0.10625</v>
      </c>
      <c r="P71" s="1">
        <v>0.24652777777777779</v>
      </c>
      <c r="Q71" s="1">
        <v>0.10625</v>
      </c>
      <c r="R71" s="1">
        <v>0.34236111111111112</v>
      </c>
      <c r="S71" s="1">
        <v>0.10625</v>
      </c>
    </row>
    <row r="72" spans="1:19" x14ac:dyDescent="0.2">
      <c r="A72">
        <v>4</v>
      </c>
      <c r="B72">
        <v>2</v>
      </c>
      <c r="C72" t="s">
        <v>85</v>
      </c>
      <c r="D72">
        <v>0</v>
      </c>
      <c r="E72">
        <v>1</v>
      </c>
      <c r="F72" t="s">
        <v>14</v>
      </c>
      <c r="G72" t="s">
        <v>41</v>
      </c>
      <c r="H72" s="1">
        <v>0.23472222222222222</v>
      </c>
      <c r="I72" s="1">
        <v>9.4444444444444442E-2</v>
      </c>
      <c r="J72" s="1">
        <v>0.24652777777777779</v>
      </c>
      <c r="K72" s="1">
        <v>9.4444444444444442E-2</v>
      </c>
      <c r="L72" s="1">
        <v>0.33055555555555555</v>
      </c>
      <c r="M72" s="1">
        <v>9.4444444444444442E-2</v>
      </c>
      <c r="N72" s="1">
        <v>0.23333333333333334</v>
      </c>
      <c r="O72" s="1">
        <v>0.10416666666666667</v>
      </c>
      <c r="P72" s="1">
        <v>0.24513888888888888</v>
      </c>
      <c r="Q72" s="1">
        <v>0.10416666666666667</v>
      </c>
      <c r="R72" s="1">
        <v>0.34027777777777779</v>
      </c>
      <c r="S72" s="1">
        <v>0.10416666666666667</v>
      </c>
    </row>
    <row r="73" spans="1:19" x14ac:dyDescent="0.2">
      <c r="A73">
        <v>4</v>
      </c>
      <c r="B73">
        <v>3</v>
      </c>
      <c r="C73" t="s">
        <v>86</v>
      </c>
      <c r="D73">
        <v>0</v>
      </c>
      <c r="E73">
        <v>2</v>
      </c>
      <c r="F73" t="s">
        <v>14</v>
      </c>
      <c r="G73" t="s">
        <v>41</v>
      </c>
      <c r="H73" s="1">
        <v>0.23194444444444445</v>
      </c>
      <c r="I73" s="1">
        <v>9.5138888888888884E-2</v>
      </c>
      <c r="J73" s="1">
        <v>0.24374999999999999</v>
      </c>
      <c r="K73" s="1">
        <v>9.5138888888888884E-2</v>
      </c>
      <c r="L73" s="1">
        <v>0.33124999999999999</v>
      </c>
      <c r="M73" s="1">
        <v>9.5138888888888884E-2</v>
      </c>
      <c r="N73" s="1">
        <v>0.23194444444444445</v>
      </c>
      <c r="O73" s="1">
        <v>0.10277777777777777</v>
      </c>
      <c r="P73" s="1">
        <v>0.24374999999999999</v>
      </c>
      <c r="Q73" s="1">
        <v>0.10277777777777777</v>
      </c>
      <c r="R73" s="1">
        <v>0.33888888888888891</v>
      </c>
      <c r="S73" s="1">
        <v>0.10277777777777777</v>
      </c>
    </row>
    <row r="74" spans="1:19" x14ac:dyDescent="0.2">
      <c r="A74">
        <v>4</v>
      </c>
      <c r="B74">
        <v>4</v>
      </c>
      <c r="C74" t="s">
        <v>87</v>
      </c>
      <c r="D74">
        <v>0</v>
      </c>
      <c r="E74">
        <v>1</v>
      </c>
      <c r="F74" t="s">
        <v>14</v>
      </c>
      <c r="G74" t="s">
        <v>41</v>
      </c>
      <c r="H74" s="1">
        <v>0.22916666666666666</v>
      </c>
      <c r="I74" s="1">
        <v>9.583333333333334E-2</v>
      </c>
      <c r="J74" s="1">
        <v>0.24027777777777778</v>
      </c>
      <c r="K74" s="1">
        <v>9.583333333333334E-2</v>
      </c>
      <c r="L74" s="1">
        <v>0.33194444444444443</v>
      </c>
      <c r="M74" s="1">
        <v>9.583333333333334E-2</v>
      </c>
      <c r="N74" s="1">
        <v>0.23125000000000001</v>
      </c>
      <c r="O74" s="1">
        <v>0.10208333333333333</v>
      </c>
      <c r="P74" s="1">
        <v>0.24236111111111111</v>
      </c>
      <c r="Q74" s="1">
        <v>0.10208333333333333</v>
      </c>
      <c r="R74" s="1">
        <v>0.33819444444444446</v>
      </c>
      <c r="S74" s="1">
        <v>0.10208333333333333</v>
      </c>
    </row>
    <row r="75" spans="1:19" x14ac:dyDescent="0.2">
      <c r="A75">
        <v>4</v>
      </c>
      <c r="B75">
        <v>5</v>
      </c>
      <c r="C75" t="s">
        <v>88</v>
      </c>
      <c r="D75">
        <v>1</v>
      </c>
      <c r="E75">
        <v>0</v>
      </c>
      <c r="F75" t="s">
        <v>41</v>
      </c>
      <c r="G75" t="s">
        <v>14</v>
      </c>
      <c r="H75" s="1">
        <v>0.23055555555555557</v>
      </c>
      <c r="I75" s="1">
        <v>9.7916666666666666E-2</v>
      </c>
      <c r="J75" s="1">
        <v>0.24236111111111111</v>
      </c>
      <c r="K75" s="1">
        <v>9.7916666666666666E-2</v>
      </c>
      <c r="L75" s="1">
        <v>0.33402777777777776</v>
      </c>
      <c r="M75" s="1">
        <v>9.7916666666666666E-2</v>
      </c>
      <c r="N75" s="1">
        <v>0.2298611111111111</v>
      </c>
      <c r="O75" s="1">
        <v>0.10069444444444445</v>
      </c>
      <c r="P75" s="1">
        <v>0.24097222222222223</v>
      </c>
      <c r="Q75" s="1">
        <v>0.10069444444444445</v>
      </c>
      <c r="R75" s="1">
        <v>0.33680555555555558</v>
      </c>
      <c r="S75" s="1">
        <v>0.10069444444444445</v>
      </c>
    </row>
    <row r="76" spans="1:19" x14ac:dyDescent="0.2"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Collins</dc:creator>
  <cp:lastModifiedBy>Michelle Collins</cp:lastModifiedBy>
  <dcterms:created xsi:type="dcterms:W3CDTF">2025-04-07T17:22:39Z</dcterms:created>
  <dcterms:modified xsi:type="dcterms:W3CDTF">2025-04-08T02:14:11Z</dcterms:modified>
</cp:coreProperties>
</file>